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tu/Documents/02 Archive/06 Activities/51 Flying/01 Logbooks/"/>
    </mc:Choice>
  </mc:AlternateContent>
  <xr:revisionPtr revIDLastSave="0" documentId="13_ncr:1_{250B42D3-2FC3-AC48-A1DB-0FC19749845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Log Book" sheetId="1" r:id="rId1"/>
    <sheet name="By Instructor" sheetId="4" r:id="rId2"/>
    <sheet name="By Type" sheetId="5" r:id="rId3"/>
    <sheet name="Aircraft" sheetId="2" r:id="rId4"/>
    <sheet name="By Instructor (2)" sheetId="6" r:id="rId5"/>
    <sheet name="Sheet1" sheetId="9" r:id="rId6"/>
  </sheets>
  <definedNames>
    <definedName name="_xlnm._FilterDatabase" localSheetId="3" hidden="1">Aircraft!$A$1:$D$1</definedName>
    <definedName name="_xlnm._FilterDatabase" localSheetId="0" hidden="1">'Log Book'!$A$5:$Y$655</definedName>
    <definedName name="_xlnm._FilterDatabase" localSheetId="5" hidden="1">Sheet1!$A$1:$C$706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2" l="1"/>
  <c r="H602" i="1"/>
  <c r="H603" i="1"/>
  <c r="G1" i="1"/>
  <c r="T1" i="1"/>
  <c r="U1" i="1"/>
  <c r="W1" i="1"/>
  <c r="E2" i="1" s="1"/>
  <c r="T2" i="1"/>
  <c r="U2" i="1"/>
  <c r="W2" i="1"/>
  <c r="B6" i="1"/>
  <c r="E6" i="1" s="1"/>
  <c r="C6" i="1"/>
  <c r="D6" i="1" s="1"/>
  <c r="H6" i="1"/>
  <c r="B7" i="1"/>
  <c r="E7" i="1" s="1"/>
  <c r="C7" i="1"/>
  <c r="D7" i="1" s="1"/>
  <c r="H7" i="1"/>
  <c r="B8" i="1"/>
  <c r="E8" i="1" s="1"/>
  <c r="C8" i="1"/>
  <c r="D8" i="1" s="1"/>
  <c r="H8" i="1"/>
  <c r="B9" i="1"/>
  <c r="E9" i="1" s="1"/>
  <c r="C9" i="1"/>
  <c r="D9" i="1" s="1"/>
  <c r="H9" i="1"/>
  <c r="B10" i="1"/>
  <c r="E10" i="1" s="1"/>
  <c r="C10" i="1"/>
  <c r="D10" i="1" s="1"/>
  <c r="H10" i="1"/>
  <c r="B11" i="1"/>
  <c r="E11" i="1" s="1"/>
  <c r="C11" i="1"/>
  <c r="D11" i="1" s="1"/>
  <c r="H11" i="1"/>
  <c r="B12" i="1"/>
  <c r="E12" i="1" s="1"/>
  <c r="C12" i="1"/>
  <c r="D12" i="1" s="1"/>
  <c r="H12" i="1"/>
  <c r="B13" i="1"/>
  <c r="E13" i="1" s="1"/>
  <c r="C13" i="1"/>
  <c r="D13" i="1" s="1"/>
  <c r="H13" i="1"/>
  <c r="B15" i="1"/>
  <c r="E15" i="1" s="1"/>
  <c r="C15" i="1"/>
  <c r="D15" i="1" s="1"/>
  <c r="H15" i="1"/>
  <c r="B16" i="1"/>
  <c r="E16" i="1" s="1"/>
  <c r="C16" i="1"/>
  <c r="D16" i="1" s="1"/>
  <c r="H16" i="1"/>
  <c r="B17" i="1"/>
  <c r="E17" i="1" s="1"/>
  <c r="C17" i="1"/>
  <c r="D17" i="1" s="1"/>
  <c r="H17" i="1"/>
  <c r="B18" i="1"/>
  <c r="E18" i="1" s="1"/>
  <c r="C18" i="1"/>
  <c r="D18" i="1" s="1"/>
  <c r="H18" i="1"/>
  <c r="B19" i="1"/>
  <c r="E19" i="1" s="1"/>
  <c r="C19" i="1"/>
  <c r="D19" i="1" s="1"/>
  <c r="H19" i="1"/>
  <c r="B20" i="1"/>
  <c r="E20" i="1" s="1"/>
  <c r="C20" i="1"/>
  <c r="D20" i="1" s="1"/>
  <c r="H20" i="1"/>
  <c r="B21" i="1"/>
  <c r="E21" i="1" s="1"/>
  <c r="C21" i="1"/>
  <c r="D21" i="1" s="1"/>
  <c r="H21" i="1"/>
  <c r="B22" i="1"/>
  <c r="E22" i="1" s="1"/>
  <c r="C22" i="1"/>
  <c r="D22" i="1" s="1"/>
  <c r="H22" i="1"/>
  <c r="B23" i="1"/>
  <c r="E23" i="1" s="1"/>
  <c r="C23" i="1"/>
  <c r="D23" i="1" s="1"/>
  <c r="H23" i="1"/>
  <c r="B24" i="1"/>
  <c r="E24" i="1" s="1"/>
  <c r="C24" i="1"/>
  <c r="D24" i="1" s="1"/>
  <c r="H24" i="1"/>
  <c r="B25" i="1"/>
  <c r="E25" i="1" s="1"/>
  <c r="C25" i="1"/>
  <c r="D25" i="1" s="1"/>
  <c r="H25" i="1"/>
  <c r="B26" i="1"/>
  <c r="E26" i="1" s="1"/>
  <c r="C26" i="1"/>
  <c r="D26" i="1" s="1"/>
  <c r="H26" i="1"/>
  <c r="B27" i="1"/>
  <c r="E27" i="1" s="1"/>
  <c r="C27" i="1"/>
  <c r="D27" i="1" s="1"/>
  <c r="H27" i="1"/>
  <c r="B28" i="1"/>
  <c r="E28" i="1" s="1"/>
  <c r="C28" i="1"/>
  <c r="D28" i="1" s="1"/>
  <c r="H28" i="1"/>
  <c r="B29" i="1"/>
  <c r="E29" i="1" s="1"/>
  <c r="C29" i="1"/>
  <c r="D29" i="1" s="1"/>
  <c r="H29" i="1"/>
  <c r="B30" i="1"/>
  <c r="E30" i="1" s="1"/>
  <c r="C30" i="1"/>
  <c r="D30" i="1" s="1"/>
  <c r="H30" i="1"/>
  <c r="B31" i="1"/>
  <c r="E31" i="1" s="1"/>
  <c r="C31" i="1"/>
  <c r="D31" i="1" s="1"/>
  <c r="H31" i="1"/>
  <c r="B32" i="1"/>
  <c r="E32" i="1" s="1"/>
  <c r="C32" i="1"/>
  <c r="D32" i="1" s="1"/>
  <c r="H32" i="1"/>
  <c r="B33" i="1"/>
  <c r="E33" i="1" s="1"/>
  <c r="C33" i="1"/>
  <c r="D33" i="1" s="1"/>
  <c r="H33" i="1"/>
  <c r="B35" i="1"/>
  <c r="E35" i="1" s="1"/>
  <c r="C35" i="1"/>
  <c r="D35" i="1" s="1"/>
  <c r="H35" i="1"/>
  <c r="B36" i="1"/>
  <c r="E36" i="1" s="1"/>
  <c r="C36" i="1"/>
  <c r="D36" i="1" s="1"/>
  <c r="H36" i="1"/>
  <c r="B37" i="1"/>
  <c r="E37" i="1" s="1"/>
  <c r="C37" i="1"/>
  <c r="D37" i="1" s="1"/>
  <c r="H37" i="1"/>
  <c r="B38" i="1"/>
  <c r="E38" i="1" s="1"/>
  <c r="C38" i="1"/>
  <c r="D38" i="1" s="1"/>
  <c r="H38" i="1"/>
  <c r="B39" i="1"/>
  <c r="E39" i="1" s="1"/>
  <c r="C39" i="1"/>
  <c r="D39" i="1" s="1"/>
  <c r="H39" i="1"/>
  <c r="B40" i="1"/>
  <c r="E40" i="1" s="1"/>
  <c r="C40" i="1"/>
  <c r="D40" i="1" s="1"/>
  <c r="H40" i="1"/>
  <c r="B41" i="1"/>
  <c r="E41" i="1" s="1"/>
  <c r="C41" i="1"/>
  <c r="D41" i="1" s="1"/>
  <c r="H41" i="1"/>
  <c r="B42" i="1"/>
  <c r="E42" i="1" s="1"/>
  <c r="C42" i="1"/>
  <c r="D42" i="1" s="1"/>
  <c r="H42" i="1"/>
  <c r="B43" i="1"/>
  <c r="E43" i="1" s="1"/>
  <c r="C43" i="1"/>
  <c r="D43" i="1" s="1"/>
  <c r="H43" i="1"/>
  <c r="B44" i="1"/>
  <c r="E44" i="1" s="1"/>
  <c r="C44" i="1"/>
  <c r="D44" i="1" s="1"/>
  <c r="H44" i="1"/>
  <c r="B45" i="1"/>
  <c r="E45" i="1" s="1"/>
  <c r="C45" i="1"/>
  <c r="D45" i="1" s="1"/>
  <c r="H45" i="1"/>
  <c r="B46" i="1"/>
  <c r="E46" i="1" s="1"/>
  <c r="C46" i="1"/>
  <c r="D46" i="1" s="1"/>
  <c r="H46" i="1"/>
  <c r="B47" i="1"/>
  <c r="E47" i="1" s="1"/>
  <c r="C47" i="1"/>
  <c r="D47" i="1" s="1"/>
  <c r="H47" i="1"/>
  <c r="B48" i="1"/>
  <c r="E48" i="1" s="1"/>
  <c r="C48" i="1"/>
  <c r="D48" i="1" s="1"/>
  <c r="H48" i="1"/>
  <c r="B49" i="1"/>
  <c r="E49" i="1" s="1"/>
  <c r="C49" i="1"/>
  <c r="D49" i="1" s="1"/>
  <c r="H49" i="1"/>
  <c r="B50" i="1"/>
  <c r="E50" i="1" s="1"/>
  <c r="C50" i="1"/>
  <c r="D50" i="1" s="1"/>
  <c r="H50" i="1"/>
  <c r="B51" i="1"/>
  <c r="E51" i="1" s="1"/>
  <c r="C51" i="1"/>
  <c r="D51" i="1" s="1"/>
  <c r="H51" i="1"/>
  <c r="B52" i="1"/>
  <c r="E52" i="1" s="1"/>
  <c r="C52" i="1"/>
  <c r="D52" i="1" s="1"/>
  <c r="H52" i="1"/>
  <c r="B53" i="1"/>
  <c r="E53" i="1" s="1"/>
  <c r="C53" i="1"/>
  <c r="D53" i="1" s="1"/>
  <c r="H53" i="1"/>
  <c r="B54" i="1"/>
  <c r="E54" i="1" s="1"/>
  <c r="C54" i="1"/>
  <c r="D54" i="1" s="1"/>
  <c r="H54" i="1"/>
  <c r="B55" i="1"/>
  <c r="E55" i="1" s="1"/>
  <c r="C55" i="1"/>
  <c r="D55" i="1" s="1"/>
  <c r="H55" i="1"/>
  <c r="B56" i="1"/>
  <c r="E56" i="1" s="1"/>
  <c r="C56" i="1"/>
  <c r="D56" i="1" s="1"/>
  <c r="H56" i="1"/>
  <c r="B57" i="1"/>
  <c r="E57" i="1" s="1"/>
  <c r="C57" i="1"/>
  <c r="D57" i="1" s="1"/>
  <c r="H57" i="1"/>
  <c r="B58" i="1"/>
  <c r="E58" i="1" s="1"/>
  <c r="C58" i="1"/>
  <c r="D58" i="1" s="1"/>
  <c r="H58" i="1"/>
  <c r="B59" i="1"/>
  <c r="E59" i="1" s="1"/>
  <c r="C59" i="1"/>
  <c r="D59" i="1" s="1"/>
  <c r="H59" i="1"/>
  <c r="B60" i="1"/>
  <c r="E60" i="1" s="1"/>
  <c r="C60" i="1"/>
  <c r="D60" i="1" s="1"/>
  <c r="H60" i="1"/>
  <c r="B61" i="1"/>
  <c r="E61" i="1" s="1"/>
  <c r="C61" i="1"/>
  <c r="D61" i="1" s="1"/>
  <c r="H61" i="1"/>
  <c r="B62" i="1"/>
  <c r="E62" i="1" s="1"/>
  <c r="C62" i="1"/>
  <c r="D62" i="1" s="1"/>
  <c r="H62" i="1"/>
  <c r="B63" i="1"/>
  <c r="E63" i="1" s="1"/>
  <c r="C63" i="1"/>
  <c r="D63" i="1" s="1"/>
  <c r="H63" i="1"/>
  <c r="B64" i="1"/>
  <c r="E64" i="1" s="1"/>
  <c r="C64" i="1"/>
  <c r="D64" i="1" s="1"/>
  <c r="H64" i="1"/>
  <c r="B65" i="1"/>
  <c r="E65" i="1" s="1"/>
  <c r="C65" i="1"/>
  <c r="D65" i="1" s="1"/>
  <c r="H65" i="1"/>
  <c r="B66" i="1"/>
  <c r="E66" i="1" s="1"/>
  <c r="C66" i="1"/>
  <c r="D66" i="1" s="1"/>
  <c r="H66" i="1"/>
  <c r="B67" i="1"/>
  <c r="E67" i="1" s="1"/>
  <c r="C67" i="1"/>
  <c r="D67" i="1" s="1"/>
  <c r="H67" i="1"/>
  <c r="B68" i="1"/>
  <c r="E68" i="1" s="1"/>
  <c r="C68" i="1"/>
  <c r="D68" i="1" s="1"/>
  <c r="H68" i="1"/>
  <c r="B69" i="1"/>
  <c r="E69" i="1" s="1"/>
  <c r="C69" i="1"/>
  <c r="D69" i="1" s="1"/>
  <c r="H69" i="1"/>
  <c r="B71" i="1"/>
  <c r="E71" i="1" s="1"/>
  <c r="C71" i="1"/>
  <c r="D71" i="1" s="1"/>
  <c r="H71" i="1"/>
  <c r="B72" i="1"/>
  <c r="E72" i="1" s="1"/>
  <c r="C72" i="1"/>
  <c r="D72" i="1" s="1"/>
  <c r="H72" i="1"/>
  <c r="B73" i="1"/>
  <c r="E73" i="1" s="1"/>
  <c r="C73" i="1"/>
  <c r="D73" i="1" s="1"/>
  <c r="H73" i="1"/>
  <c r="B74" i="1"/>
  <c r="E74" i="1" s="1"/>
  <c r="C74" i="1"/>
  <c r="D74" i="1" s="1"/>
  <c r="H74" i="1"/>
  <c r="B75" i="1"/>
  <c r="E75" i="1" s="1"/>
  <c r="C75" i="1"/>
  <c r="D75" i="1" s="1"/>
  <c r="H75" i="1"/>
  <c r="B76" i="1"/>
  <c r="E76" i="1" s="1"/>
  <c r="C76" i="1"/>
  <c r="D76" i="1" s="1"/>
  <c r="H76" i="1"/>
  <c r="B77" i="1"/>
  <c r="E77" i="1" s="1"/>
  <c r="C77" i="1"/>
  <c r="D77" i="1" s="1"/>
  <c r="H77" i="1"/>
  <c r="B78" i="1"/>
  <c r="E78" i="1" s="1"/>
  <c r="C78" i="1"/>
  <c r="D78" i="1" s="1"/>
  <c r="H78" i="1"/>
  <c r="B79" i="1"/>
  <c r="E79" i="1" s="1"/>
  <c r="C79" i="1"/>
  <c r="D79" i="1" s="1"/>
  <c r="H79" i="1"/>
  <c r="B80" i="1"/>
  <c r="E80" i="1" s="1"/>
  <c r="C80" i="1"/>
  <c r="D80" i="1" s="1"/>
  <c r="H80" i="1"/>
  <c r="B81" i="1"/>
  <c r="E81" i="1" s="1"/>
  <c r="C81" i="1"/>
  <c r="D81" i="1" s="1"/>
  <c r="H81" i="1"/>
  <c r="B82" i="1"/>
  <c r="E82" i="1" s="1"/>
  <c r="C82" i="1"/>
  <c r="D82" i="1" s="1"/>
  <c r="H82" i="1"/>
  <c r="B83" i="1"/>
  <c r="E83" i="1" s="1"/>
  <c r="C83" i="1"/>
  <c r="D83" i="1" s="1"/>
  <c r="H83" i="1"/>
  <c r="B84" i="1"/>
  <c r="E84" i="1" s="1"/>
  <c r="C84" i="1"/>
  <c r="D84" i="1" s="1"/>
  <c r="H84" i="1"/>
  <c r="B85" i="1"/>
  <c r="E85" i="1" s="1"/>
  <c r="C85" i="1"/>
  <c r="D85" i="1" s="1"/>
  <c r="H85" i="1"/>
  <c r="B86" i="1"/>
  <c r="E86" i="1" s="1"/>
  <c r="C86" i="1"/>
  <c r="D86" i="1" s="1"/>
  <c r="H86" i="1"/>
  <c r="B87" i="1"/>
  <c r="E87" i="1" s="1"/>
  <c r="C87" i="1"/>
  <c r="D87" i="1" s="1"/>
  <c r="H87" i="1"/>
  <c r="B88" i="1"/>
  <c r="E88" i="1" s="1"/>
  <c r="C88" i="1"/>
  <c r="D88" i="1" s="1"/>
  <c r="H88" i="1"/>
  <c r="B89" i="1"/>
  <c r="E89" i="1" s="1"/>
  <c r="C89" i="1"/>
  <c r="D89" i="1" s="1"/>
  <c r="H89" i="1"/>
  <c r="B90" i="1"/>
  <c r="E90" i="1" s="1"/>
  <c r="C90" i="1"/>
  <c r="D90" i="1" s="1"/>
  <c r="H90" i="1"/>
  <c r="B91" i="1"/>
  <c r="E91" i="1" s="1"/>
  <c r="C91" i="1"/>
  <c r="D91" i="1" s="1"/>
  <c r="H91" i="1"/>
  <c r="B92" i="1"/>
  <c r="E92" i="1" s="1"/>
  <c r="C92" i="1"/>
  <c r="D92" i="1" s="1"/>
  <c r="H92" i="1"/>
  <c r="B93" i="1"/>
  <c r="E93" i="1" s="1"/>
  <c r="C93" i="1"/>
  <c r="D93" i="1" s="1"/>
  <c r="H93" i="1"/>
  <c r="B94" i="1"/>
  <c r="E94" i="1" s="1"/>
  <c r="C94" i="1"/>
  <c r="D94" i="1" s="1"/>
  <c r="H94" i="1"/>
  <c r="B95" i="1"/>
  <c r="E95" i="1" s="1"/>
  <c r="C95" i="1"/>
  <c r="D95" i="1" s="1"/>
  <c r="H95" i="1"/>
  <c r="B96" i="1"/>
  <c r="E96" i="1" s="1"/>
  <c r="C96" i="1"/>
  <c r="D96" i="1" s="1"/>
  <c r="H96" i="1"/>
  <c r="B97" i="1"/>
  <c r="E97" i="1" s="1"/>
  <c r="C97" i="1"/>
  <c r="D97" i="1" s="1"/>
  <c r="H97" i="1"/>
  <c r="B98" i="1"/>
  <c r="E98" i="1" s="1"/>
  <c r="C98" i="1"/>
  <c r="D98" i="1" s="1"/>
  <c r="H98" i="1"/>
  <c r="B99" i="1"/>
  <c r="E99" i="1" s="1"/>
  <c r="C99" i="1"/>
  <c r="D99" i="1" s="1"/>
  <c r="H99" i="1"/>
  <c r="B100" i="1"/>
  <c r="E100" i="1" s="1"/>
  <c r="C100" i="1"/>
  <c r="D100" i="1" s="1"/>
  <c r="H100" i="1"/>
  <c r="B101" i="1"/>
  <c r="E101" i="1" s="1"/>
  <c r="C101" i="1"/>
  <c r="D101" i="1" s="1"/>
  <c r="H101" i="1"/>
  <c r="B102" i="1"/>
  <c r="E102" i="1" s="1"/>
  <c r="C102" i="1"/>
  <c r="D102" i="1" s="1"/>
  <c r="H102" i="1"/>
  <c r="B103" i="1"/>
  <c r="E103" i="1" s="1"/>
  <c r="C103" i="1"/>
  <c r="D103" i="1" s="1"/>
  <c r="H103" i="1"/>
  <c r="B104" i="1"/>
  <c r="E104" i="1" s="1"/>
  <c r="C104" i="1"/>
  <c r="D104" i="1" s="1"/>
  <c r="H104" i="1"/>
  <c r="B105" i="1"/>
  <c r="E105" i="1" s="1"/>
  <c r="C105" i="1"/>
  <c r="D105" i="1" s="1"/>
  <c r="H105" i="1"/>
  <c r="B106" i="1"/>
  <c r="E106" i="1" s="1"/>
  <c r="C106" i="1"/>
  <c r="D106" i="1" s="1"/>
  <c r="H106" i="1"/>
  <c r="B107" i="1"/>
  <c r="E107" i="1" s="1"/>
  <c r="C107" i="1"/>
  <c r="D107" i="1" s="1"/>
  <c r="H107" i="1"/>
  <c r="B108" i="1"/>
  <c r="E108" i="1" s="1"/>
  <c r="C108" i="1"/>
  <c r="D108" i="1" s="1"/>
  <c r="H108" i="1"/>
  <c r="B109" i="1"/>
  <c r="E109" i="1" s="1"/>
  <c r="C109" i="1"/>
  <c r="D109" i="1" s="1"/>
  <c r="H109" i="1"/>
  <c r="B110" i="1"/>
  <c r="E110" i="1" s="1"/>
  <c r="C110" i="1"/>
  <c r="D110" i="1" s="1"/>
  <c r="H110" i="1"/>
  <c r="B111" i="1"/>
  <c r="E111" i="1" s="1"/>
  <c r="C111" i="1"/>
  <c r="D111" i="1" s="1"/>
  <c r="H111" i="1"/>
  <c r="B112" i="1"/>
  <c r="E112" i="1" s="1"/>
  <c r="C112" i="1"/>
  <c r="D112" i="1" s="1"/>
  <c r="H112" i="1"/>
  <c r="B113" i="1"/>
  <c r="E113" i="1" s="1"/>
  <c r="C113" i="1"/>
  <c r="D113" i="1" s="1"/>
  <c r="H113" i="1"/>
  <c r="B114" i="1"/>
  <c r="E114" i="1" s="1"/>
  <c r="C114" i="1"/>
  <c r="D114" i="1" s="1"/>
  <c r="H114" i="1"/>
  <c r="B115" i="1"/>
  <c r="E115" i="1" s="1"/>
  <c r="C115" i="1"/>
  <c r="D115" i="1" s="1"/>
  <c r="H115" i="1"/>
  <c r="B116" i="1"/>
  <c r="E116" i="1" s="1"/>
  <c r="C116" i="1"/>
  <c r="D116" i="1" s="1"/>
  <c r="H116" i="1"/>
  <c r="B117" i="1"/>
  <c r="E117" i="1" s="1"/>
  <c r="C117" i="1"/>
  <c r="D117" i="1" s="1"/>
  <c r="H117" i="1"/>
  <c r="B118" i="1"/>
  <c r="E118" i="1" s="1"/>
  <c r="C118" i="1"/>
  <c r="D118" i="1" s="1"/>
  <c r="H118" i="1"/>
  <c r="B119" i="1"/>
  <c r="E119" i="1" s="1"/>
  <c r="C119" i="1"/>
  <c r="D119" i="1" s="1"/>
  <c r="H119" i="1"/>
  <c r="B120" i="1"/>
  <c r="E120" i="1" s="1"/>
  <c r="C120" i="1"/>
  <c r="D120" i="1" s="1"/>
  <c r="H120" i="1"/>
  <c r="B121" i="1"/>
  <c r="E121" i="1" s="1"/>
  <c r="C121" i="1"/>
  <c r="D121" i="1" s="1"/>
  <c r="H121" i="1"/>
  <c r="B122" i="1"/>
  <c r="E122" i="1" s="1"/>
  <c r="C122" i="1"/>
  <c r="D122" i="1" s="1"/>
  <c r="H122" i="1"/>
  <c r="B123" i="1"/>
  <c r="E123" i="1" s="1"/>
  <c r="C123" i="1"/>
  <c r="D123" i="1" s="1"/>
  <c r="H123" i="1"/>
  <c r="B124" i="1"/>
  <c r="E124" i="1" s="1"/>
  <c r="C124" i="1"/>
  <c r="D124" i="1" s="1"/>
  <c r="H124" i="1"/>
  <c r="B125" i="1"/>
  <c r="E125" i="1" s="1"/>
  <c r="C125" i="1"/>
  <c r="D125" i="1" s="1"/>
  <c r="H125" i="1"/>
  <c r="B126" i="1"/>
  <c r="E126" i="1" s="1"/>
  <c r="C126" i="1"/>
  <c r="D126" i="1" s="1"/>
  <c r="H126" i="1"/>
  <c r="B127" i="1"/>
  <c r="E127" i="1" s="1"/>
  <c r="C127" i="1"/>
  <c r="D127" i="1" s="1"/>
  <c r="H127" i="1"/>
  <c r="B128" i="1"/>
  <c r="E128" i="1" s="1"/>
  <c r="C128" i="1"/>
  <c r="D128" i="1" s="1"/>
  <c r="H128" i="1"/>
  <c r="B129" i="1"/>
  <c r="E129" i="1" s="1"/>
  <c r="C129" i="1"/>
  <c r="D129" i="1" s="1"/>
  <c r="H129" i="1"/>
  <c r="B130" i="1"/>
  <c r="E130" i="1" s="1"/>
  <c r="C130" i="1"/>
  <c r="D130" i="1" s="1"/>
  <c r="H130" i="1"/>
  <c r="B131" i="1"/>
  <c r="E131" i="1" s="1"/>
  <c r="C131" i="1"/>
  <c r="D131" i="1" s="1"/>
  <c r="H131" i="1"/>
  <c r="B132" i="1"/>
  <c r="E132" i="1" s="1"/>
  <c r="C132" i="1"/>
  <c r="D132" i="1" s="1"/>
  <c r="H132" i="1"/>
  <c r="B133" i="1"/>
  <c r="E133" i="1" s="1"/>
  <c r="C133" i="1"/>
  <c r="D133" i="1" s="1"/>
  <c r="H133" i="1"/>
  <c r="B134" i="1"/>
  <c r="E134" i="1" s="1"/>
  <c r="C134" i="1"/>
  <c r="D134" i="1" s="1"/>
  <c r="H134" i="1"/>
  <c r="B135" i="1"/>
  <c r="E135" i="1" s="1"/>
  <c r="C135" i="1"/>
  <c r="D135" i="1" s="1"/>
  <c r="H135" i="1"/>
  <c r="B136" i="1"/>
  <c r="E136" i="1" s="1"/>
  <c r="C136" i="1"/>
  <c r="D136" i="1" s="1"/>
  <c r="H136" i="1"/>
  <c r="B137" i="1"/>
  <c r="E137" i="1" s="1"/>
  <c r="C137" i="1"/>
  <c r="D137" i="1" s="1"/>
  <c r="H137" i="1"/>
  <c r="B138" i="1"/>
  <c r="E138" i="1" s="1"/>
  <c r="C138" i="1"/>
  <c r="D138" i="1" s="1"/>
  <c r="H138" i="1"/>
  <c r="B139" i="1"/>
  <c r="E139" i="1" s="1"/>
  <c r="C139" i="1"/>
  <c r="D139" i="1" s="1"/>
  <c r="H139" i="1"/>
  <c r="B140" i="1"/>
  <c r="E140" i="1" s="1"/>
  <c r="C140" i="1"/>
  <c r="D140" i="1" s="1"/>
  <c r="H140" i="1"/>
  <c r="B141" i="1"/>
  <c r="E141" i="1" s="1"/>
  <c r="C141" i="1"/>
  <c r="D141" i="1" s="1"/>
  <c r="H141" i="1"/>
  <c r="B142" i="1"/>
  <c r="E142" i="1" s="1"/>
  <c r="C142" i="1"/>
  <c r="D142" i="1" s="1"/>
  <c r="H142" i="1"/>
  <c r="B143" i="1"/>
  <c r="E143" i="1" s="1"/>
  <c r="C143" i="1"/>
  <c r="D143" i="1" s="1"/>
  <c r="H143" i="1"/>
  <c r="B144" i="1"/>
  <c r="E144" i="1" s="1"/>
  <c r="C144" i="1"/>
  <c r="D144" i="1" s="1"/>
  <c r="H144" i="1"/>
  <c r="B145" i="1"/>
  <c r="E145" i="1" s="1"/>
  <c r="C145" i="1"/>
  <c r="D145" i="1" s="1"/>
  <c r="H145" i="1"/>
  <c r="B146" i="1"/>
  <c r="E146" i="1" s="1"/>
  <c r="C146" i="1"/>
  <c r="D146" i="1" s="1"/>
  <c r="H146" i="1"/>
  <c r="B147" i="1"/>
  <c r="E147" i="1" s="1"/>
  <c r="C147" i="1"/>
  <c r="D147" i="1" s="1"/>
  <c r="H147" i="1"/>
  <c r="B148" i="1"/>
  <c r="E148" i="1" s="1"/>
  <c r="C148" i="1"/>
  <c r="D148" i="1" s="1"/>
  <c r="H148" i="1"/>
  <c r="B149" i="1"/>
  <c r="E149" i="1" s="1"/>
  <c r="C149" i="1"/>
  <c r="D149" i="1" s="1"/>
  <c r="H149" i="1"/>
  <c r="B150" i="1"/>
  <c r="E150" i="1" s="1"/>
  <c r="C150" i="1"/>
  <c r="D150" i="1" s="1"/>
  <c r="H150" i="1"/>
  <c r="B151" i="1"/>
  <c r="E151" i="1" s="1"/>
  <c r="C151" i="1"/>
  <c r="D151" i="1" s="1"/>
  <c r="H151" i="1"/>
  <c r="B152" i="1"/>
  <c r="E152" i="1" s="1"/>
  <c r="C152" i="1"/>
  <c r="D152" i="1" s="1"/>
  <c r="H152" i="1"/>
  <c r="B153" i="1"/>
  <c r="E153" i="1" s="1"/>
  <c r="C153" i="1"/>
  <c r="D153" i="1" s="1"/>
  <c r="H153" i="1"/>
  <c r="B154" i="1"/>
  <c r="E154" i="1" s="1"/>
  <c r="C154" i="1"/>
  <c r="D154" i="1" s="1"/>
  <c r="H154" i="1"/>
  <c r="B155" i="1"/>
  <c r="E155" i="1" s="1"/>
  <c r="C155" i="1"/>
  <c r="D155" i="1" s="1"/>
  <c r="H155" i="1"/>
  <c r="B156" i="1"/>
  <c r="E156" i="1" s="1"/>
  <c r="C156" i="1"/>
  <c r="D156" i="1" s="1"/>
  <c r="H156" i="1"/>
  <c r="B157" i="1"/>
  <c r="E157" i="1" s="1"/>
  <c r="C157" i="1"/>
  <c r="D157" i="1" s="1"/>
  <c r="H157" i="1"/>
  <c r="B158" i="1"/>
  <c r="E158" i="1" s="1"/>
  <c r="C158" i="1"/>
  <c r="D158" i="1" s="1"/>
  <c r="H158" i="1"/>
  <c r="B159" i="1"/>
  <c r="E159" i="1" s="1"/>
  <c r="C159" i="1"/>
  <c r="D159" i="1" s="1"/>
  <c r="H159" i="1"/>
  <c r="B160" i="1"/>
  <c r="E160" i="1" s="1"/>
  <c r="C160" i="1"/>
  <c r="D160" i="1" s="1"/>
  <c r="H160" i="1"/>
  <c r="B162" i="1"/>
  <c r="E162" i="1" s="1"/>
  <c r="C162" i="1"/>
  <c r="D162" i="1" s="1"/>
  <c r="H162" i="1"/>
  <c r="B163" i="1"/>
  <c r="E163" i="1" s="1"/>
  <c r="C163" i="1"/>
  <c r="D163" i="1" s="1"/>
  <c r="H163" i="1"/>
  <c r="B164" i="1"/>
  <c r="E164" i="1" s="1"/>
  <c r="C164" i="1"/>
  <c r="D164" i="1" s="1"/>
  <c r="H164" i="1"/>
  <c r="B165" i="1"/>
  <c r="E165" i="1" s="1"/>
  <c r="C165" i="1"/>
  <c r="D165" i="1" s="1"/>
  <c r="H165" i="1"/>
  <c r="B166" i="1"/>
  <c r="E166" i="1" s="1"/>
  <c r="C166" i="1"/>
  <c r="D166" i="1" s="1"/>
  <c r="H166" i="1"/>
  <c r="B167" i="1"/>
  <c r="E167" i="1" s="1"/>
  <c r="C167" i="1"/>
  <c r="D167" i="1" s="1"/>
  <c r="H167" i="1"/>
  <c r="B168" i="1"/>
  <c r="E168" i="1" s="1"/>
  <c r="C168" i="1"/>
  <c r="D168" i="1" s="1"/>
  <c r="H168" i="1"/>
  <c r="B169" i="1"/>
  <c r="E169" i="1" s="1"/>
  <c r="C169" i="1"/>
  <c r="D169" i="1" s="1"/>
  <c r="H169" i="1"/>
  <c r="B170" i="1"/>
  <c r="E170" i="1" s="1"/>
  <c r="C170" i="1"/>
  <c r="D170" i="1" s="1"/>
  <c r="H170" i="1"/>
  <c r="B171" i="1"/>
  <c r="E171" i="1" s="1"/>
  <c r="C171" i="1"/>
  <c r="D171" i="1" s="1"/>
  <c r="H171" i="1"/>
  <c r="B172" i="1"/>
  <c r="E172" i="1" s="1"/>
  <c r="C172" i="1"/>
  <c r="D172" i="1" s="1"/>
  <c r="H172" i="1"/>
  <c r="B173" i="1"/>
  <c r="E173" i="1" s="1"/>
  <c r="C173" i="1"/>
  <c r="D173" i="1" s="1"/>
  <c r="H173" i="1"/>
  <c r="B174" i="1"/>
  <c r="E174" i="1" s="1"/>
  <c r="C174" i="1"/>
  <c r="D174" i="1" s="1"/>
  <c r="H174" i="1"/>
  <c r="B175" i="1"/>
  <c r="E175" i="1" s="1"/>
  <c r="C175" i="1"/>
  <c r="D175" i="1" s="1"/>
  <c r="H175" i="1"/>
  <c r="B176" i="1"/>
  <c r="E176" i="1" s="1"/>
  <c r="C176" i="1"/>
  <c r="D176" i="1" s="1"/>
  <c r="H176" i="1"/>
  <c r="B177" i="1"/>
  <c r="E177" i="1" s="1"/>
  <c r="C177" i="1"/>
  <c r="D177" i="1" s="1"/>
  <c r="H177" i="1"/>
  <c r="B178" i="1"/>
  <c r="E178" i="1" s="1"/>
  <c r="C178" i="1"/>
  <c r="D178" i="1" s="1"/>
  <c r="H178" i="1"/>
  <c r="B179" i="1"/>
  <c r="E179" i="1" s="1"/>
  <c r="C179" i="1"/>
  <c r="D179" i="1" s="1"/>
  <c r="H179" i="1"/>
  <c r="B180" i="1"/>
  <c r="E180" i="1" s="1"/>
  <c r="C180" i="1"/>
  <c r="D180" i="1" s="1"/>
  <c r="H180" i="1"/>
  <c r="B181" i="1"/>
  <c r="E181" i="1" s="1"/>
  <c r="C181" i="1"/>
  <c r="D181" i="1" s="1"/>
  <c r="H181" i="1"/>
  <c r="B182" i="1"/>
  <c r="E182" i="1" s="1"/>
  <c r="C182" i="1"/>
  <c r="D182" i="1" s="1"/>
  <c r="H182" i="1"/>
  <c r="B183" i="1"/>
  <c r="E183" i="1" s="1"/>
  <c r="C183" i="1"/>
  <c r="D183" i="1" s="1"/>
  <c r="H183" i="1"/>
  <c r="B184" i="1"/>
  <c r="E184" i="1" s="1"/>
  <c r="C184" i="1"/>
  <c r="D184" i="1" s="1"/>
  <c r="H184" i="1"/>
  <c r="B185" i="1"/>
  <c r="E185" i="1" s="1"/>
  <c r="C185" i="1"/>
  <c r="D185" i="1" s="1"/>
  <c r="H185" i="1"/>
  <c r="B186" i="1"/>
  <c r="E186" i="1" s="1"/>
  <c r="C186" i="1"/>
  <c r="D186" i="1" s="1"/>
  <c r="H186" i="1"/>
  <c r="B187" i="1"/>
  <c r="E187" i="1" s="1"/>
  <c r="C187" i="1"/>
  <c r="D187" i="1" s="1"/>
  <c r="H187" i="1"/>
  <c r="B188" i="1"/>
  <c r="E188" i="1" s="1"/>
  <c r="C188" i="1"/>
  <c r="D188" i="1" s="1"/>
  <c r="H188" i="1"/>
  <c r="B189" i="1"/>
  <c r="E189" i="1" s="1"/>
  <c r="C189" i="1"/>
  <c r="D189" i="1" s="1"/>
  <c r="H189" i="1"/>
  <c r="B190" i="1"/>
  <c r="E190" i="1" s="1"/>
  <c r="C190" i="1"/>
  <c r="D190" i="1" s="1"/>
  <c r="H190" i="1"/>
  <c r="B191" i="1"/>
  <c r="E191" i="1" s="1"/>
  <c r="C191" i="1"/>
  <c r="D191" i="1" s="1"/>
  <c r="H191" i="1"/>
  <c r="B192" i="1"/>
  <c r="E192" i="1" s="1"/>
  <c r="C192" i="1"/>
  <c r="D192" i="1" s="1"/>
  <c r="H192" i="1"/>
  <c r="B193" i="1"/>
  <c r="E193" i="1" s="1"/>
  <c r="C193" i="1"/>
  <c r="D193" i="1" s="1"/>
  <c r="H193" i="1"/>
  <c r="B194" i="1"/>
  <c r="E194" i="1" s="1"/>
  <c r="C194" i="1"/>
  <c r="D194" i="1" s="1"/>
  <c r="H194" i="1"/>
  <c r="B195" i="1"/>
  <c r="E195" i="1" s="1"/>
  <c r="C195" i="1"/>
  <c r="D195" i="1" s="1"/>
  <c r="H195" i="1"/>
  <c r="B196" i="1"/>
  <c r="E196" i="1" s="1"/>
  <c r="C196" i="1"/>
  <c r="D196" i="1" s="1"/>
  <c r="H196" i="1"/>
  <c r="B197" i="1"/>
  <c r="E197" i="1" s="1"/>
  <c r="C197" i="1"/>
  <c r="D197" i="1" s="1"/>
  <c r="H197" i="1"/>
  <c r="B198" i="1"/>
  <c r="E198" i="1" s="1"/>
  <c r="C198" i="1"/>
  <c r="D198" i="1" s="1"/>
  <c r="H198" i="1"/>
  <c r="B199" i="1"/>
  <c r="E199" i="1" s="1"/>
  <c r="C199" i="1"/>
  <c r="D199" i="1" s="1"/>
  <c r="H199" i="1"/>
  <c r="B200" i="1"/>
  <c r="E200" i="1" s="1"/>
  <c r="C200" i="1"/>
  <c r="D200" i="1" s="1"/>
  <c r="H200" i="1"/>
  <c r="B201" i="1"/>
  <c r="E201" i="1" s="1"/>
  <c r="C201" i="1"/>
  <c r="D201" i="1" s="1"/>
  <c r="H201" i="1"/>
  <c r="B202" i="1"/>
  <c r="E202" i="1" s="1"/>
  <c r="C202" i="1"/>
  <c r="D202" i="1" s="1"/>
  <c r="H202" i="1"/>
  <c r="B203" i="1"/>
  <c r="E203" i="1" s="1"/>
  <c r="C203" i="1"/>
  <c r="D203" i="1" s="1"/>
  <c r="H203" i="1"/>
  <c r="B204" i="1"/>
  <c r="E204" i="1" s="1"/>
  <c r="C204" i="1"/>
  <c r="D204" i="1" s="1"/>
  <c r="H204" i="1"/>
  <c r="B205" i="1"/>
  <c r="E205" i="1" s="1"/>
  <c r="C205" i="1"/>
  <c r="D205" i="1" s="1"/>
  <c r="H205" i="1"/>
  <c r="M205" i="1"/>
  <c r="Q205" i="1"/>
  <c r="B206" i="1"/>
  <c r="E206" i="1" s="1"/>
  <c r="C206" i="1"/>
  <c r="D206" i="1" s="1"/>
  <c r="H206" i="1"/>
  <c r="B207" i="1"/>
  <c r="E207" i="1" s="1"/>
  <c r="C207" i="1"/>
  <c r="D207" i="1" s="1"/>
  <c r="H207" i="1"/>
  <c r="B208" i="1"/>
  <c r="E208" i="1" s="1"/>
  <c r="C208" i="1"/>
  <c r="D208" i="1" s="1"/>
  <c r="H208" i="1"/>
  <c r="B209" i="1"/>
  <c r="E209" i="1" s="1"/>
  <c r="C209" i="1"/>
  <c r="D209" i="1" s="1"/>
  <c r="H209" i="1"/>
  <c r="B210" i="1"/>
  <c r="E210" i="1" s="1"/>
  <c r="C210" i="1"/>
  <c r="D210" i="1" s="1"/>
  <c r="H210" i="1"/>
  <c r="B211" i="1"/>
  <c r="E211" i="1" s="1"/>
  <c r="C211" i="1"/>
  <c r="D211" i="1" s="1"/>
  <c r="H211" i="1"/>
  <c r="B212" i="1"/>
  <c r="E212" i="1" s="1"/>
  <c r="C212" i="1"/>
  <c r="D212" i="1" s="1"/>
  <c r="H212" i="1"/>
  <c r="B213" i="1"/>
  <c r="E213" i="1" s="1"/>
  <c r="C213" i="1"/>
  <c r="D213" i="1" s="1"/>
  <c r="H213" i="1"/>
  <c r="B214" i="1"/>
  <c r="E214" i="1" s="1"/>
  <c r="C214" i="1"/>
  <c r="D214" i="1" s="1"/>
  <c r="H214" i="1"/>
  <c r="B215" i="1"/>
  <c r="E215" i="1" s="1"/>
  <c r="C215" i="1"/>
  <c r="D215" i="1" s="1"/>
  <c r="H215" i="1"/>
  <c r="B216" i="1"/>
  <c r="E216" i="1" s="1"/>
  <c r="C216" i="1"/>
  <c r="D216" i="1" s="1"/>
  <c r="H216" i="1"/>
  <c r="B218" i="1"/>
  <c r="E218" i="1" s="1"/>
  <c r="C218" i="1"/>
  <c r="D218" i="1" s="1"/>
  <c r="H218" i="1"/>
  <c r="O218" i="1"/>
  <c r="S218" i="1"/>
  <c r="B219" i="1"/>
  <c r="E219" i="1" s="1"/>
  <c r="C219" i="1"/>
  <c r="D219" i="1" s="1"/>
  <c r="H219" i="1"/>
  <c r="O219" i="1"/>
  <c r="S219" i="1"/>
  <c r="B220" i="1"/>
  <c r="E220" i="1" s="1"/>
  <c r="C220" i="1"/>
  <c r="D220" i="1" s="1"/>
  <c r="H220" i="1"/>
  <c r="B221" i="1"/>
  <c r="E221" i="1" s="1"/>
  <c r="C221" i="1"/>
  <c r="D221" i="1" s="1"/>
  <c r="H221" i="1"/>
  <c r="B222" i="1"/>
  <c r="E222" i="1" s="1"/>
  <c r="C222" i="1"/>
  <c r="D222" i="1" s="1"/>
  <c r="H222" i="1"/>
  <c r="B223" i="1"/>
  <c r="E223" i="1" s="1"/>
  <c r="C223" i="1"/>
  <c r="D223" i="1" s="1"/>
  <c r="H223" i="1"/>
  <c r="B224" i="1"/>
  <c r="E224" i="1" s="1"/>
  <c r="C224" i="1"/>
  <c r="D224" i="1" s="1"/>
  <c r="H224" i="1"/>
  <c r="B225" i="1"/>
  <c r="E225" i="1" s="1"/>
  <c r="C225" i="1"/>
  <c r="D225" i="1" s="1"/>
  <c r="H225" i="1"/>
  <c r="B226" i="1"/>
  <c r="E226" i="1" s="1"/>
  <c r="C226" i="1"/>
  <c r="D226" i="1" s="1"/>
  <c r="H226" i="1"/>
  <c r="O226" i="1"/>
  <c r="S226" i="1"/>
  <c r="B227" i="1"/>
  <c r="E227" i="1" s="1"/>
  <c r="C227" i="1"/>
  <c r="D227" i="1" s="1"/>
  <c r="H227" i="1"/>
  <c r="B228" i="1"/>
  <c r="E228" i="1" s="1"/>
  <c r="C228" i="1"/>
  <c r="D228" i="1" s="1"/>
  <c r="H228" i="1"/>
  <c r="B229" i="1"/>
  <c r="E229" i="1" s="1"/>
  <c r="C229" i="1"/>
  <c r="D229" i="1" s="1"/>
  <c r="H229" i="1"/>
  <c r="B230" i="1"/>
  <c r="E230" i="1" s="1"/>
  <c r="C230" i="1"/>
  <c r="D230" i="1" s="1"/>
  <c r="H230" i="1"/>
  <c r="B231" i="1"/>
  <c r="E231" i="1" s="1"/>
  <c r="C231" i="1"/>
  <c r="D231" i="1" s="1"/>
  <c r="H231" i="1"/>
  <c r="B232" i="1"/>
  <c r="E232" i="1" s="1"/>
  <c r="C232" i="1"/>
  <c r="D232" i="1" s="1"/>
  <c r="H232" i="1"/>
  <c r="B233" i="1"/>
  <c r="E233" i="1" s="1"/>
  <c r="C233" i="1"/>
  <c r="D233" i="1" s="1"/>
  <c r="H233" i="1"/>
  <c r="B234" i="1"/>
  <c r="E234" i="1" s="1"/>
  <c r="C234" i="1"/>
  <c r="D234" i="1" s="1"/>
  <c r="H234" i="1"/>
  <c r="B235" i="1"/>
  <c r="E235" i="1" s="1"/>
  <c r="C235" i="1"/>
  <c r="D235" i="1" s="1"/>
  <c r="H235" i="1"/>
  <c r="B236" i="1"/>
  <c r="E236" i="1" s="1"/>
  <c r="C236" i="1"/>
  <c r="D236" i="1" s="1"/>
  <c r="H236" i="1"/>
  <c r="B237" i="1"/>
  <c r="C237" i="1"/>
  <c r="D237" i="1" s="1"/>
  <c r="E237" i="1"/>
  <c r="H237" i="1"/>
  <c r="B238" i="1"/>
  <c r="E238" i="1" s="1"/>
  <c r="C238" i="1"/>
  <c r="D238" i="1" s="1"/>
  <c r="H238" i="1"/>
  <c r="B239" i="1"/>
  <c r="E239" i="1" s="1"/>
  <c r="C239" i="1"/>
  <c r="D239" i="1" s="1"/>
  <c r="H239" i="1"/>
  <c r="B240" i="1"/>
  <c r="E240" i="1" s="1"/>
  <c r="C240" i="1"/>
  <c r="D240" i="1" s="1"/>
  <c r="H240" i="1"/>
  <c r="B241" i="1"/>
  <c r="E241" i="1" s="1"/>
  <c r="C241" i="1"/>
  <c r="D241" i="1" s="1"/>
  <c r="H241" i="1"/>
  <c r="B242" i="1"/>
  <c r="E242" i="1" s="1"/>
  <c r="C242" i="1"/>
  <c r="D242" i="1" s="1"/>
  <c r="H242" i="1"/>
  <c r="B243" i="1"/>
  <c r="E243" i="1" s="1"/>
  <c r="C243" i="1"/>
  <c r="D243" i="1" s="1"/>
  <c r="H243" i="1"/>
  <c r="B244" i="1"/>
  <c r="E244" i="1" s="1"/>
  <c r="C244" i="1"/>
  <c r="D244" i="1" s="1"/>
  <c r="H244" i="1"/>
  <c r="B245" i="1"/>
  <c r="E245" i="1" s="1"/>
  <c r="C245" i="1"/>
  <c r="D245" i="1" s="1"/>
  <c r="H245" i="1"/>
  <c r="B246" i="1"/>
  <c r="E246" i="1" s="1"/>
  <c r="C246" i="1"/>
  <c r="D246" i="1" s="1"/>
  <c r="H246" i="1"/>
  <c r="B247" i="1"/>
  <c r="E247" i="1" s="1"/>
  <c r="C247" i="1"/>
  <c r="D247" i="1" s="1"/>
  <c r="H247" i="1"/>
  <c r="B248" i="1"/>
  <c r="E248" i="1" s="1"/>
  <c r="C248" i="1"/>
  <c r="D248" i="1" s="1"/>
  <c r="H248" i="1"/>
  <c r="B249" i="1"/>
  <c r="E249" i="1" s="1"/>
  <c r="C249" i="1"/>
  <c r="D249" i="1" s="1"/>
  <c r="H249" i="1"/>
  <c r="B250" i="1"/>
  <c r="E250" i="1" s="1"/>
  <c r="C250" i="1"/>
  <c r="D250" i="1" s="1"/>
  <c r="H250" i="1"/>
  <c r="B251" i="1"/>
  <c r="E251" i="1" s="1"/>
  <c r="C251" i="1"/>
  <c r="D251" i="1" s="1"/>
  <c r="H251" i="1"/>
  <c r="B252" i="1"/>
  <c r="E252" i="1" s="1"/>
  <c r="C252" i="1"/>
  <c r="D252" i="1" s="1"/>
  <c r="H252" i="1"/>
  <c r="B253" i="1"/>
  <c r="E253" i="1" s="1"/>
  <c r="C253" i="1"/>
  <c r="D253" i="1" s="1"/>
  <c r="H253" i="1"/>
  <c r="B254" i="1"/>
  <c r="E254" i="1" s="1"/>
  <c r="C254" i="1"/>
  <c r="D254" i="1" s="1"/>
  <c r="H254" i="1"/>
  <c r="B255" i="1"/>
  <c r="E255" i="1" s="1"/>
  <c r="C255" i="1"/>
  <c r="D255" i="1" s="1"/>
  <c r="H255" i="1"/>
  <c r="B256" i="1"/>
  <c r="E256" i="1" s="1"/>
  <c r="C256" i="1"/>
  <c r="D256" i="1" s="1"/>
  <c r="H256" i="1"/>
  <c r="B257" i="1"/>
  <c r="E257" i="1" s="1"/>
  <c r="C257" i="1"/>
  <c r="D257" i="1" s="1"/>
  <c r="H257" i="1"/>
  <c r="B258" i="1"/>
  <c r="E258" i="1" s="1"/>
  <c r="C258" i="1"/>
  <c r="D258" i="1" s="1"/>
  <c r="H258" i="1"/>
  <c r="B259" i="1"/>
  <c r="E259" i="1" s="1"/>
  <c r="C259" i="1"/>
  <c r="D259" i="1" s="1"/>
  <c r="H259" i="1"/>
  <c r="B260" i="1"/>
  <c r="E260" i="1" s="1"/>
  <c r="C260" i="1"/>
  <c r="D260" i="1" s="1"/>
  <c r="H260" i="1"/>
  <c r="B261" i="1"/>
  <c r="E261" i="1" s="1"/>
  <c r="C261" i="1"/>
  <c r="D261" i="1" s="1"/>
  <c r="H261" i="1"/>
  <c r="B262" i="1"/>
  <c r="E262" i="1" s="1"/>
  <c r="C262" i="1"/>
  <c r="D262" i="1" s="1"/>
  <c r="H262" i="1"/>
  <c r="B263" i="1"/>
  <c r="E263" i="1" s="1"/>
  <c r="C263" i="1"/>
  <c r="D263" i="1" s="1"/>
  <c r="H263" i="1"/>
  <c r="B264" i="1"/>
  <c r="E264" i="1" s="1"/>
  <c r="C264" i="1"/>
  <c r="D264" i="1" s="1"/>
  <c r="H264" i="1"/>
  <c r="B265" i="1"/>
  <c r="E265" i="1" s="1"/>
  <c r="C265" i="1"/>
  <c r="D265" i="1" s="1"/>
  <c r="H265" i="1"/>
  <c r="B266" i="1"/>
  <c r="E266" i="1" s="1"/>
  <c r="C266" i="1"/>
  <c r="D266" i="1" s="1"/>
  <c r="H266" i="1"/>
  <c r="B267" i="1"/>
  <c r="E267" i="1" s="1"/>
  <c r="C267" i="1"/>
  <c r="D267" i="1" s="1"/>
  <c r="H267" i="1"/>
  <c r="B268" i="1"/>
  <c r="E268" i="1" s="1"/>
  <c r="C268" i="1"/>
  <c r="D268" i="1" s="1"/>
  <c r="H268" i="1"/>
  <c r="B269" i="1"/>
  <c r="E269" i="1" s="1"/>
  <c r="C269" i="1"/>
  <c r="D269" i="1" s="1"/>
  <c r="H269" i="1"/>
  <c r="B270" i="1"/>
  <c r="E270" i="1" s="1"/>
  <c r="C270" i="1"/>
  <c r="D270" i="1" s="1"/>
  <c r="H270" i="1"/>
  <c r="B271" i="1"/>
  <c r="E271" i="1" s="1"/>
  <c r="C271" i="1"/>
  <c r="D271" i="1" s="1"/>
  <c r="H271" i="1"/>
  <c r="B272" i="1"/>
  <c r="E272" i="1" s="1"/>
  <c r="C272" i="1"/>
  <c r="D272" i="1" s="1"/>
  <c r="H272" i="1"/>
  <c r="B273" i="1"/>
  <c r="E273" i="1" s="1"/>
  <c r="C273" i="1"/>
  <c r="D273" i="1" s="1"/>
  <c r="H273" i="1"/>
  <c r="B274" i="1"/>
  <c r="E274" i="1" s="1"/>
  <c r="C274" i="1"/>
  <c r="D274" i="1" s="1"/>
  <c r="H274" i="1"/>
  <c r="B275" i="1"/>
  <c r="E275" i="1" s="1"/>
  <c r="C275" i="1"/>
  <c r="D275" i="1" s="1"/>
  <c r="H275" i="1"/>
  <c r="B276" i="1"/>
  <c r="E276" i="1" s="1"/>
  <c r="C276" i="1"/>
  <c r="D276" i="1" s="1"/>
  <c r="H276" i="1"/>
  <c r="B277" i="1"/>
  <c r="E277" i="1" s="1"/>
  <c r="C277" i="1"/>
  <c r="D277" i="1" s="1"/>
  <c r="H277" i="1"/>
  <c r="B278" i="1"/>
  <c r="E278" i="1" s="1"/>
  <c r="C278" i="1"/>
  <c r="D278" i="1" s="1"/>
  <c r="H278" i="1"/>
  <c r="B279" i="1"/>
  <c r="E279" i="1" s="1"/>
  <c r="C279" i="1"/>
  <c r="D279" i="1" s="1"/>
  <c r="H279" i="1"/>
  <c r="B280" i="1"/>
  <c r="E280" i="1" s="1"/>
  <c r="C280" i="1"/>
  <c r="D280" i="1" s="1"/>
  <c r="H280" i="1"/>
  <c r="B281" i="1"/>
  <c r="E281" i="1" s="1"/>
  <c r="C281" i="1"/>
  <c r="D281" i="1" s="1"/>
  <c r="H281" i="1"/>
  <c r="B282" i="1"/>
  <c r="E282" i="1" s="1"/>
  <c r="C282" i="1"/>
  <c r="D282" i="1" s="1"/>
  <c r="H282" i="1"/>
  <c r="B283" i="1"/>
  <c r="E283" i="1" s="1"/>
  <c r="C283" i="1"/>
  <c r="D283" i="1" s="1"/>
  <c r="H283" i="1"/>
  <c r="B284" i="1"/>
  <c r="E284" i="1" s="1"/>
  <c r="C284" i="1"/>
  <c r="D284" i="1" s="1"/>
  <c r="H284" i="1"/>
  <c r="B286" i="1"/>
  <c r="E286" i="1" s="1"/>
  <c r="C286" i="1"/>
  <c r="D286" i="1" s="1"/>
  <c r="H286" i="1"/>
  <c r="B287" i="1"/>
  <c r="E287" i="1" s="1"/>
  <c r="C287" i="1"/>
  <c r="D287" i="1" s="1"/>
  <c r="H287" i="1"/>
  <c r="B288" i="1"/>
  <c r="E288" i="1" s="1"/>
  <c r="C288" i="1"/>
  <c r="D288" i="1" s="1"/>
  <c r="H288" i="1"/>
  <c r="B289" i="1"/>
  <c r="E289" i="1" s="1"/>
  <c r="C289" i="1"/>
  <c r="D289" i="1" s="1"/>
  <c r="H289" i="1"/>
  <c r="B290" i="1"/>
  <c r="E290" i="1" s="1"/>
  <c r="C290" i="1"/>
  <c r="D290" i="1" s="1"/>
  <c r="H290" i="1"/>
  <c r="B291" i="1"/>
  <c r="E291" i="1" s="1"/>
  <c r="C291" i="1"/>
  <c r="D291" i="1" s="1"/>
  <c r="H291" i="1"/>
  <c r="B292" i="1"/>
  <c r="E292" i="1" s="1"/>
  <c r="C292" i="1"/>
  <c r="D292" i="1" s="1"/>
  <c r="H292" i="1"/>
  <c r="B293" i="1"/>
  <c r="E293" i="1" s="1"/>
  <c r="C293" i="1"/>
  <c r="D293" i="1" s="1"/>
  <c r="H293" i="1"/>
  <c r="B294" i="1"/>
  <c r="E294" i="1" s="1"/>
  <c r="C294" i="1"/>
  <c r="D294" i="1" s="1"/>
  <c r="H294" i="1"/>
  <c r="B295" i="1"/>
  <c r="E295" i="1" s="1"/>
  <c r="C295" i="1"/>
  <c r="D295" i="1" s="1"/>
  <c r="H295" i="1"/>
  <c r="B296" i="1"/>
  <c r="E296" i="1" s="1"/>
  <c r="C296" i="1"/>
  <c r="D296" i="1" s="1"/>
  <c r="H296" i="1"/>
  <c r="B297" i="1"/>
  <c r="E297" i="1" s="1"/>
  <c r="C297" i="1"/>
  <c r="D297" i="1" s="1"/>
  <c r="H297" i="1"/>
  <c r="B298" i="1"/>
  <c r="E298" i="1" s="1"/>
  <c r="C298" i="1"/>
  <c r="D298" i="1" s="1"/>
  <c r="H298" i="1"/>
  <c r="B299" i="1"/>
  <c r="E299" i="1" s="1"/>
  <c r="C299" i="1"/>
  <c r="D299" i="1" s="1"/>
  <c r="H299" i="1"/>
  <c r="B300" i="1"/>
  <c r="E300" i="1" s="1"/>
  <c r="C300" i="1"/>
  <c r="D300" i="1" s="1"/>
  <c r="H300" i="1"/>
  <c r="B301" i="1"/>
  <c r="E301" i="1" s="1"/>
  <c r="C301" i="1"/>
  <c r="D301" i="1" s="1"/>
  <c r="H301" i="1"/>
  <c r="B302" i="1"/>
  <c r="E302" i="1" s="1"/>
  <c r="C302" i="1"/>
  <c r="D302" i="1" s="1"/>
  <c r="H302" i="1"/>
  <c r="B303" i="1"/>
  <c r="E303" i="1" s="1"/>
  <c r="C303" i="1"/>
  <c r="D303" i="1" s="1"/>
  <c r="H303" i="1"/>
  <c r="B304" i="1"/>
  <c r="E304" i="1" s="1"/>
  <c r="C304" i="1"/>
  <c r="D304" i="1" s="1"/>
  <c r="H304" i="1"/>
  <c r="B305" i="1"/>
  <c r="E305" i="1" s="1"/>
  <c r="C305" i="1"/>
  <c r="D305" i="1" s="1"/>
  <c r="H305" i="1"/>
  <c r="B306" i="1"/>
  <c r="E306" i="1" s="1"/>
  <c r="C306" i="1"/>
  <c r="D306" i="1" s="1"/>
  <c r="H306" i="1"/>
  <c r="B307" i="1"/>
  <c r="E307" i="1" s="1"/>
  <c r="C307" i="1"/>
  <c r="D307" i="1" s="1"/>
  <c r="H307" i="1"/>
  <c r="B308" i="1"/>
  <c r="E308" i="1" s="1"/>
  <c r="C308" i="1"/>
  <c r="D308" i="1" s="1"/>
  <c r="H308" i="1"/>
  <c r="B309" i="1"/>
  <c r="E309" i="1" s="1"/>
  <c r="C309" i="1"/>
  <c r="D309" i="1" s="1"/>
  <c r="H309" i="1"/>
  <c r="B310" i="1"/>
  <c r="E310" i="1" s="1"/>
  <c r="C310" i="1"/>
  <c r="D310" i="1" s="1"/>
  <c r="H310" i="1"/>
  <c r="B311" i="1"/>
  <c r="E311" i="1" s="1"/>
  <c r="C311" i="1"/>
  <c r="D311" i="1" s="1"/>
  <c r="H311" i="1"/>
  <c r="B312" i="1"/>
  <c r="E312" i="1" s="1"/>
  <c r="C312" i="1"/>
  <c r="D312" i="1" s="1"/>
  <c r="H312" i="1"/>
  <c r="B313" i="1"/>
  <c r="E313" i="1" s="1"/>
  <c r="C313" i="1"/>
  <c r="D313" i="1" s="1"/>
  <c r="H313" i="1"/>
  <c r="B314" i="1"/>
  <c r="E314" i="1" s="1"/>
  <c r="C314" i="1"/>
  <c r="D314" i="1" s="1"/>
  <c r="H314" i="1"/>
  <c r="B315" i="1"/>
  <c r="E315" i="1" s="1"/>
  <c r="C315" i="1"/>
  <c r="D315" i="1" s="1"/>
  <c r="H315" i="1"/>
  <c r="B316" i="1"/>
  <c r="E316" i="1" s="1"/>
  <c r="C316" i="1"/>
  <c r="D316" i="1" s="1"/>
  <c r="H316" i="1"/>
  <c r="B317" i="1"/>
  <c r="E317" i="1" s="1"/>
  <c r="C317" i="1"/>
  <c r="D317" i="1" s="1"/>
  <c r="H317" i="1"/>
  <c r="B318" i="1"/>
  <c r="E318" i="1" s="1"/>
  <c r="C318" i="1"/>
  <c r="D318" i="1" s="1"/>
  <c r="H318" i="1"/>
  <c r="B319" i="1"/>
  <c r="E319" i="1" s="1"/>
  <c r="C319" i="1"/>
  <c r="D319" i="1" s="1"/>
  <c r="H319" i="1"/>
  <c r="B320" i="1"/>
  <c r="E320" i="1" s="1"/>
  <c r="C320" i="1"/>
  <c r="D320" i="1" s="1"/>
  <c r="H320" i="1"/>
  <c r="B321" i="1"/>
  <c r="E321" i="1" s="1"/>
  <c r="C321" i="1"/>
  <c r="D321" i="1" s="1"/>
  <c r="H321" i="1"/>
  <c r="B322" i="1"/>
  <c r="E322" i="1" s="1"/>
  <c r="C322" i="1"/>
  <c r="D322" i="1" s="1"/>
  <c r="H322" i="1"/>
  <c r="B323" i="1"/>
  <c r="E323" i="1" s="1"/>
  <c r="C323" i="1"/>
  <c r="D323" i="1" s="1"/>
  <c r="H323" i="1"/>
  <c r="B324" i="1"/>
  <c r="E324" i="1" s="1"/>
  <c r="C324" i="1"/>
  <c r="D324" i="1" s="1"/>
  <c r="H324" i="1"/>
  <c r="B325" i="1"/>
  <c r="E325" i="1" s="1"/>
  <c r="C325" i="1"/>
  <c r="D325" i="1" s="1"/>
  <c r="H325" i="1"/>
  <c r="B326" i="1"/>
  <c r="E326" i="1" s="1"/>
  <c r="C326" i="1"/>
  <c r="D326" i="1" s="1"/>
  <c r="H326" i="1"/>
  <c r="B327" i="1"/>
  <c r="E327" i="1" s="1"/>
  <c r="C327" i="1"/>
  <c r="D327" i="1" s="1"/>
  <c r="H327" i="1"/>
  <c r="B328" i="1"/>
  <c r="E328" i="1" s="1"/>
  <c r="C328" i="1"/>
  <c r="D328" i="1" s="1"/>
  <c r="H328" i="1"/>
  <c r="B329" i="1"/>
  <c r="E329" i="1" s="1"/>
  <c r="C329" i="1"/>
  <c r="D329" i="1" s="1"/>
  <c r="H329" i="1"/>
  <c r="M329" i="1"/>
  <c r="B330" i="1"/>
  <c r="E330" i="1" s="1"/>
  <c r="C330" i="1"/>
  <c r="D330" i="1" s="1"/>
  <c r="H330" i="1"/>
  <c r="B331" i="1"/>
  <c r="E331" i="1" s="1"/>
  <c r="C331" i="1"/>
  <c r="D331" i="1" s="1"/>
  <c r="H331" i="1"/>
  <c r="B332" i="1"/>
  <c r="E332" i="1" s="1"/>
  <c r="C332" i="1"/>
  <c r="D332" i="1" s="1"/>
  <c r="H332" i="1"/>
  <c r="B333" i="1"/>
  <c r="E333" i="1" s="1"/>
  <c r="C333" i="1"/>
  <c r="D333" i="1" s="1"/>
  <c r="H333" i="1"/>
  <c r="B334" i="1"/>
  <c r="E334" i="1" s="1"/>
  <c r="C334" i="1"/>
  <c r="D334" i="1" s="1"/>
  <c r="H334" i="1"/>
  <c r="B335" i="1"/>
  <c r="E335" i="1" s="1"/>
  <c r="C335" i="1"/>
  <c r="D335" i="1" s="1"/>
  <c r="H335" i="1"/>
  <c r="B336" i="1"/>
  <c r="E336" i="1" s="1"/>
  <c r="C336" i="1"/>
  <c r="D336" i="1" s="1"/>
  <c r="H336" i="1"/>
  <c r="B337" i="1"/>
  <c r="E337" i="1" s="1"/>
  <c r="C337" i="1"/>
  <c r="D337" i="1" s="1"/>
  <c r="H337" i="1"/>
  <c r="B338" i="1"/>
  <c r="E338" i="1" s="1"/>
  <c r="C338" i="1"/>
  <c r="D338" i="1" s="1"/>
  <c r="H338" i="1"/>
  <c r="B339" i="1"/>
  <c r="E339" i="1" s="1"/>
  <c r="C339" i="1"/>
  <c r="D339" i="1" s="1"/>
  <c r="H339" i="1"/>
  <c r="B340" i="1"/>
  <c r="E340" i="1" s="1"/>
  <c r="C340" i="1"/>
  <c r="D340" i="1" s="1"/>
  <c r="H340" i="1"/>
  <c r="B341" i="1"/>
  <c r="E341" i="1" s="1"/>
  <c r="C341" i="1"/>
  <c r="D341" i="1" s="1"/>
  <c r="H341" i="1"/>
  <c r="B342" i="1"/>
  <c r="E342" i="1" s="1"/>
  <c r="C342" i="1"/>
  <c r="D342" i="1" s="1"/>
  <c r="H342" i="1"/>
  <c r="B343" i="1"/>
  <c r="E343" i="1" s="1"/>
  <c r="C343" i="1"/>
  <c r="D343" i="1" s="1"/>
  <c r="H343" i="1"/>
  <c r="B344" i="1"/>
  <c r="E344" i="1" s="1"/>
  <c r="C344" i="1"/>
  <c r="D344" i="1" s="1"/>
  <c r="H344" i="1"/>
  <c r="B345" i="1"/>
  <c r="E345" i="1" s="1"/>
  <c r="C345" i="1"/>
  <c r="D345" i="1" s="1"/>
  <c r="H345" i="1"/>
  <c r="B346" i="1"/>
  <c r="E346" i="1" s="1"/>
  <c r="C346" i="1"/>
  <c r="D346" i="1" s="1"/>
  <c r="H346" i="1"/>
  <c r="B347" i="1"/>
  <c r="E347" i="1" s="1"/>
  <c r="C347" i="1"/>
  <c r="D347" i="1" s="1"/>
  <c r="H347" i="1"/>
  <c r="B348" i="1"/>
  <c r="E348" i="1" s="1"/>
  <c r="C348" i="1"/>
  <c r="D348" i="1" s="1"/>
  <c r="H348" i="1"/>
  <c r="B349" i="1"/>
  <c r="E349" i="1" s="1"/>
  <c r="C349" i="1"/>
  <c r="D349" i="1" s="1"/>
  <c r="H349" i="1"/>
  <c r="B350" i="1"/>
  <c r="E350" i="1" s="1"/>
  <c r="C350" i="1"/>
  <c r="D350" i="1" s="1"/>
  <c r="H350" i="1"/>
  <c r="B351" i="1"/>
  <c r="E351" i="1" s="1"/>
  <c r="C351" i="1"/>
  <c r="D351" i="1" s="1"/>
  <c r="H351" i="1"/>
  <c r="B352" i="1"/>
  <c r="E352" i="1" s="1"/>
  <c r="C352" i="1"/>
  <c r="D352" i="1" s="1"/>
  <c r="H352" i="1"/>
  <c r="B353" i="1"/>
  <c r="E353" i="1" s="1"/>
  <c r="C353" i="1"/>
  <c r="D353" i="1" s="1"/>
  <c r="H353" i="1"/>
  <c r="B354" i="1"/>
  <c r="E354" i="1" s="1"/>
  <c r="C354" i="1"/>
  <c r="D354" i="1" s="1"/>
  <c r="H354" i="1"/>
  <c r="B355" i="1"/>
  <c r="E355" i="1" s="1"/>
  <c r="C355" i="1"/>
  <c r="D355" i="1" s="1"/>
  <c r="H355" i="1"/>
  <c r="B356" i="1"/>
  <c r="E356" i="1" s="1"/>
  <c r="C356" i="1"/>
  <c r="D356" i="1" s="1"/>
  <c r="H356" i="1"/>
  <c r="B357" i="1"/>
  <c r="E357" i="1" s="1"/>
  <c r="C357" i="1"/>
  <c r="D357" i="1" s="1"/>
  <c r="H357" i="1"/>
  <c r="B358" i="1"/>
  <c r="E358" i="1" s="1"/>
  <c r="C358" i="1"/>
  <c r="D358" i="1" s="1"/>
  <c r="H358" i="1"/>
  <c r="B359" i="1"/>
  <c r="E359" i="1" s="1"/>
  <c r="C359" i="1"/>
  <c r="D359" i="1" s="1"/>
  <c r="H359" i="1"/>
  <c r="B360" i="1"/>
  <c r="E360" i="1" s="1"/>
  <c r="C360" i="1"/>
  <c r="D360" i="1" s="1"/>
  <c r="H360" i="1"/>
  <c r="B361" i="1"/>
  <c r="E361" i="1" s="1"/>
  <c r="C361" i="1"/>
  <c r="D361" i="1" s="1"/>
  <c r="H361" i="1"/>
  <c r="B362" i="1"/>
  <c r="E362" i="1" s="1"/>
  <c r="C362" i="1"/>
  <c r="D362" i="1" s="1"/>
  <c r="H362" i="1"/>
  <c r="B363" i="1"/>
  <c r="E363" i="1" s="1"/>
  <c r="C363" i="1"/>
  <c r="D363" i="1" s="1"/>
  <c r="H363" i="1"/>
  <c r="B364" i="1"/>
  <c r="E364" i="1" s="1"/>
  <c r="C364" i="1"/>
  <c r="D364" i="1" s="1"/>
  <c r="H364" i="1"/>
  <c r="B365" i="1"/>
  <c r="E365" i="1" s="1"/>
  <c r="C365" i="1"/>
  <c r="D365" i="1" s="1"/>
  <c r="H365" i="1"/>
  <c r="B366" i="1"/>
  <c r="E366" i="1" s="1"/>
  <c r="C366" i="1"/>
  <c r="D366" i="1" s="1"/>
  <c r="H366" i="1"/>
  <c r="B367" i="1"/>
  <c r="E367" i="1" s="1"/>
  <c r="C367" i="1"/>
  <c r="D367" i="1" s="1"/>
  <c r="H367" i="1"/>
  <c r="B368" i="1"/>
  <c r="E368" i="1" s="1"/>
  <c r="C368" i="1"/>
  <c r="D368" i="1" s="1"/>
  <c r="H368" i="1"/>
  <c r="B369" i="1"/>
  <c r="E369" i="1" s="1"/>
  <c r="C369" i="1"/>
  <c r="D369" i="1" s="1"/>
  <c r="H369" i="1"/>
  <c r="B370" i="1"/>
  <c r="E370" i="1" s="1"/>
  <c r="C370" i="1"/>
  <c r="D370" i="1" s="1"/>
  <c r="H370" i="1"/>
  <c r="B371" i="1"/>
  <c r="E371" i="1" s="1"/>
  <c r="C371" i="1"/>
  <c r="D371" i="1" s="1"/>
  <c r="H371" i="1"/>
  <c r="B372" i="1"/>
  <c r="E372" i="1" s="1"/>
  <c r="C372" i="1"/>
  <c r="D372" i="1" s="1"/>
  <c r="H372" i="1"/>
  <c r="B373" i="1"/>
  <c r="E373" i="1" s="1"/>
  <c r="C373" i="1"/>
  <c r="D373" i="1" s="1"/>
  <c r="H373" i="1"/>
  <c r="B374" i="1"/>
  <c r="E374" i="1" s="1"/>
  <c r="C374" i="1"/>
  <c r="D374" i="1" s="1"/>
  <c r="H374" i="1"/>
  <c r="B375" i="1"/>
  <c r="E375" i="1" s="1"/>
  <c r="C375" i="1"/>
  <c r="D375" i="1" s="1"/>
  <c r="H375" i="1"/>
  <c r="O375" i="1"/>
  <c r="S375" i="1"/>
  <c r="B377" i="1"/>
  <c r="E377" i="1" s="1"/>
  <c r="C377" i="1"/>
  <c r="D377" i="1" s="1"/>
  <c r="H377" i="1"/>
  <c r="B378" i="1"/>
  <c r="E378" i="1" s="1"/>
  <c r="C378" i="1"/>
  <c r="D378" i="1" s="1"/>
  <c r="H378" i="1"/>
  <c r="B379" i="1"/>
  <c r="E379" i="1" s="1"/>
  <c r="C379" i="1"/>
  <c r="D379" i="1" s="1"/>
  <c r="H379" i="1"/>
  <c r="B380" i="1"/>
  <c r="E380" i="1" s="1"/>
  <c r="C380" i="1"/>
  <c r="D380" i="1" s="1"/>
  <c r="H380" i="1"/>
  <c r="B381" i="1"/>
  <c r="E381" i="1" s="1"/>
  <c r="C381" i="1"/>
  <c r="D381" i="1" s="1"/>
  <c r="H381" i="1"/>
  <c r="B382" i="1"/>
  <c r="E382" i="1" s="1"/>
  <c r="C382" i="1"/>
  <c r="D382" i="1" s="1"/>
  <c r="H382" i="1"/>
  <c r="B383" i="1"/>
  <c r="E383" i="1" s="1"/>
  <c r="C383" i="1"/>
  <c r="D383" i="1" s="1"/>
  <c r="H383" i="1"/>
  <c r="B384" i="1"/>
  <c r="E384" i="1" s="1"/>
  <c r="C384" i="1"/>
  <c r="D384" i="1" s="1"/>
  <c r="H384" i="1"/>
  <c r="B385" i="1"/>
  <c r="E385" i="1" s="1"/>
  <c r="C385" i="1"/>
  <c r="D385" i="1" s="1"/>
  <c r="H385" i="1"/>
  <c r="B386" i="1"/>
  <c r="E386" i="1" s="1"/>
  <c r="C386" i="1"/>
  <c r="D386" i="1" s="1"/>
  <c r="H386" i="1"/>
  <c r="B387" i="1"/>
  <c r="E387" i="1" s="1"/>
  <c r="C387" i="1"/>
  <c r="D387" i="1" s="1"/>
  <c r="H387" i="1"/>
  <c r="B388" i="1"/>
  <c r="E388" i="1" s="1"/>
  <c r="C388" i="1"/>
  <c r="D388" i="1" s="1"/>
  <c r="H388" i="1"/>
  <c r="B389" i="1"/>
  <c r="E389" i="1" s="1"/>
  <c r="C389" i="1"/>
  <c r="D389" i="1" s="1"/>
  <c r="H389" i="1"/>
  <c r="B390" i="1"/>
  <c r="E390" i="1" s="1"/>
  <c r="C390" i="1"/>
  <c r="D390" i="1" s="1"/>
  <c r="H390" i="1"/>
  <c r="B391" i="1"/>
  <c r="E391" i="1" s="1"/>
  <c r="C391" i="1"/>
  <c r="D391" i="1" s="1"/>
  <c r="H391" i="1"/>
  <c r="B392" i="1"/>
  <c r="E392" i="1" s="1"/>
  <c r="C392" i="1"/>
  <c r="D392" i="1" s="1"/>
  <c r="H392" i="1"/>
  <c r="B393" i="1"/>
  <c r="E393" i="1" s="1"/>
  <c r="C393" i="1"/>
  <c r="D393" i="1" s="1"/>
  <c r="H393" i="1"/>
  <c r="B394" i="1"/>
  <c r="E394" i="1" s="1"/>
  <c r="C394" i="1"/>
  <c r="D394" i="1" s="1"/>
  <c r="H394" i="1"/>
  <c r="B395" i="1"/>
  <c r="E395" i="1" s="1"/>
  <c r="C395" i="1"/>
  <c r="D395" i="1" s="1"/>
  <c r="H395" i="1"/>
  <c r="B396" i="1"/>
  <c r="E396" i="1" s="1"/>
  <c r="C396" i="1"/>
  <c r="D396" i="1" s="1"/>
  <c r="H396" i="1"/>
  <c r="B397" i="1"/>
  <c r="E397" i="1" s="1"/>
  <c r="C397" i="1"/>
  <c r="D397" i="1" s="1"/>
  <c r="H397" i="1"/>
  <c r="B398" i="1"/>
  <c r="E398" i="1" s="1"/>
  <c r="C398" i="1"/>
  <c r="D398" i="1" s="1"/>
  <c r="H398" i="1"/>
  <c r="B399" i="1"/>
  <c r="E399" i="1" s="1"/>
  <c r="C399" i="1"/>
  <c r="D399" i="1" s="1"/>
  <c r="H399" i="1"/>
  <c r="B400" i="1"/>
  <c r="E400" i="1" s="1"/>
  <c r="C400" i="1"/>
  <c r="D400" i="1" s="1"/>
  <c r="H400" i="1"/>
  <c r="B401" i="1"/>
  <c r="E401" i="1" s="1"/>
  <c r="C401" i="1"/>
  <c r="D401" i="1" s="1"/>
  <c r="H401" i="1"/>
  <c r="B402" i="1"/>
  <c r="E402" i="1" s="1"/>
  <c r="C402" i="1"/>
  <c r="D402" i="1" s="1"/>
  <c r="H402" i="1"/>
  <c r="B403" i="1"/>
  <c r="E403" i="1" s="1"/>
  <c r="C403" i="1"/>
  <c r="D403" i="1" s="1"/>
  <c r="H403" i="1"/>
  <c r="B404" i="1"/>
  <c r="E404" i="1" s="1"/>
  <c r="C404" i="1"/>
  <c r="D404" i="1" s="1"/>
  <c r="H404" i="1"/>
  <c r="B405" i="1"/>
  <c r="E405" i="1" s="1"/>
  <c r="C405" i="1"/>
  <c r="D405" i="1" s="1"/>
  <c r="H405" i="1"/>
  <c r="B406" i="1"/>
  <c r="E406" i="1" s="1"/>
  <c r="C406" i="1"/>
  <c r="D406" i="1" s="1"/>
  <c r="H406" i="1"/>
  <c r="B407" i="1"/>
  <c r="E407" i="1" s="1"/>
  <c r="C407" i="1"/>
  <c r="D407" i="1" s="1"/>
  <c r="H407" i="1"/>
  <c r="B408" i="1"/>
  <c r="E408" i="1" s="1"/>
  <c r="C408" i="1"/>
  <c r="D408" i="1" s="1"/>
  <c r="H408" i="1"/>
  <c r="B409" i="1"/>
  <c r="E409" i="1" s="1"/>
  <c r="C409" i="1"/>
  <c r="D409" i="1" s="1"/>
  <c r="H409" i="1"/>
  <c r="B410" i="1"/>
  <c r="E410" i="1" s="1"/>
  <c r="C410" i="1"/>
  <c r="D410" i="1" s="1"/>
  <c r="H410" i="1"/>
  <c r="B411" i="1"/>
  <c r="E411" i="1" s="1"/>
  <c r="C411" i="1"/>
  <c r="D411" i="1" s="1"/>
  <c r="H411" i="1"/>
  <c r="B412" i="1"/>
  <c r="E412" i="1" s="1"/>
  <c r="C412" i="1"/>
  <c r="D412" i="1" s="1"/>
  <c r="H412" i="1"/>
  <c r="B413" i="1"/>
  <c r="E413" i="1" s="1"/>
  <c r="C413" i="1"/>
  <c r="D413" i="1" s="1"/>
  <c r="H413" i="1"/>
  <c r="B414" i="1"/>
  <c r="E414" i="1" s="1"/>
  <c r="C414" i="1"/>
  <c r="D414" i="1" s="1"/>
  <c r="H414" i="1"/>
  <c r="B415" i="1"/>
  <c r="E415" i="1" s="1"/>
  <c r="C415" i="1"/>
  <c r="D415" i="1" s="1"/>
  <c r="H415" i="1"/>
  <c r="B416" i="1"/>
  <c r="E416" i="1" s="1"/>
  <c r="C416" i="1"/>
  <c r="D416" i="1" s="1"/>
  <c r="H416" i="1"/>
  <c r="B417" i="1"/>
  <c r="E417" i="1" s="1"/>
  <c r="C417" i="1"/>
  <c r="D417" i="1" s="1"/>
  <c r="H417" i="1"/>
  <c r="B418" i="1"/>
  <c r="E418" i="1" s="1"/>
  <c r="C418" i="1"/>
  <c r="D418" i="1" s="1"/>
  <c r="H418" i="1"/>
  <c r="B419" i="1"/>
  <c r="E419" i="1" s="1"/>
  <c r="C419" i="1"/>
  <c r="D419" i="1" s="1"/>
  <c r="H419" i="1"/>
  <c r="B420" i="1"/>
  <c r="E420" i="1" s="1"/>
  <c r="C420" i="1"/>
  <c r="D420" i="1" s="1"/>
  <c r="H420" i="1"/>
  <c r="B421" i="1"/>
  <c r="E421" i="1" s="1"/>
  <c r="C421" i="1"/>
  <c r="D421" i="1" s="1"/>
  <c r="H421" i="1"/>
  <c r="B422" i="1"/>
  <c r="E422" i="1" s="1"/>
  <c r="C422" i="1"/>
  <c r="D422" i="1" s="1"/>
  <c r="H422" i="1"/>
  <c r="B423" i="1"/>
  <c r="E423" i="1" s="1"/>
  <c r="C423" i="1"/>
  <c r="D423" i="1" s="1"/>
  <c r="H423" i="1"/>
  <c r="B424" i="1"/>
  <c r="E424" i="1" s="1"/>
  <c r="C424" i="1"/>
  <c r="D424" i="1" s="1"/>
  <c r="H424" i="1"/>
  <c r="B425" i="1"/>
  <c r="E425" i="1" s="1"/>
  <c r="C425" i="1"/>
  <c r="D425" i="1" s="1"/>
  <c r="H425" i="1"/>
  <c r="B426" i="1"/>
  <c r="E426" i="1" s="1"/>
  <c r="C426" i="1"/>
  <c r="D426" i="1" s="1"/>
  <c r="H426" i="1"/>
  <c r="B427" i="1"/>
  <c r="E427" i="1" s="1"/>
  <c r="C427" i="1"/>
  <c r="D427" i="1" s="1"/>
  <c r="H427" i="1"/>
  <c r="B428" i="1"/>
  <c r="E428" i="1" s="1"/>
  <c r="C428" i="1"/>
  <c r="D428" i="1" s="1"/>
  <c r="H428" i="1"/>
  <c r="B429" i="1"/>
  <c r="E429" i="1" s="1"/>
  <c r="C429" i="1"/>
  <c r="D429" i="1" s="1"/>
  <c r="H429" i="1"/>
  <c r="B430" i="1"/>
  <c r="E430" i="1" s="1"/>
  <c r="C430" i="1"/>
  <c r="D430" i="1" s="1"/>
  <c r="H430" i="1"/>
  <c r="B431" i="1"/>
  <c r="E431" i="1" s="1"/>
  <c r="C431" i="1"/>
  <c r="D431" i="1" s="1"/>
  <c r="H431" i="1"/>
  <c r="B432" i="1"/>
  <c r="E432" i="1" s="1"/>
  <c r="C432" i="1"/>
  <c r="D432" i="1" s="1"/>
  <c r="H432" i="1"/>
  <c r="B433" i="1"/>
  <c r="E433" i="1" s="1"/>
  <c r="C433" i="1"/>
  <c r="D433" i="1" s="1"/>
  <c r="H433" i="1"/>
  <c r="B434" i="1"/>
  <c r="E434" i="1" s="1"/>
  <c r="C434" i="1"/>
  <c r="D434" i="1" s="1"/>
  <c r="H434" i="1"/>
  <c r="B435" i="1"/>
  <c r="E435" i="1" s="1"/>
  <c r="C435" i="1"/>
  <c r="D435" i="1" s="1"/>
  <c r="H435" i="1"/>
  <c r="B436" i="1"/>
  <c r="E436" i="1" s="1"/>
  <c r="C436" i="1"/>
  <c r="D436" i="1" s="1"/>
  <c r="H436" i="1"/>
  <c r="B437" i="1"/>
  <c r="E437" i="1" s="1"/>
  <c r="C437" i="1"/>
  <c r="D437" i="1" s="1"/>
  <c r="H437" i="1"/>
  <c r="B438" i="1"/>
  <c r="E438" i="1" s="1"/>
  <c r="C438" i="1"/>
  <c r="D438" i="1" s="1"/>
  <c r="H438" i="1"/>
  <c r="B439" i="1"/>
  <c r="E439" i="1" s="1"/>
  <c r="C439" i="1"/>
  <c r="D439" i="1" s="1"/>
  <c r="H439" i="1"/>
  <c r="B441" i="1"/>
  <c r="E441" i="1" s="1"/>
  <c r="C441" i="1"/>
  <c r="D441" i="1" s="1"/>
  <c r="H441" i="1"/>
  <c r="B442" i="1"/>
  <c r="E442" i="1" s="1"/>
  <c r="C442" i="1"/>
  <c r="D442" i="1" s="1"/>
  <c r="H442" i="1"/>
  <c r="B443" i="1"/>
  <c r="E443" i="1" s="1"/>
  <c r="C443" i="1"/>
  <c r="D443" i="1" s="1"/>
  <c r="H443" i="1"/>
  <c r="B444" i="1"/>
  <c r="E444" i="1" s="1"/>
  <c r="C444" i="1"/>
  <c r="D444" i="1" s="1"/>
  <c r="H444" i="1"/>
  <c r="O444" i="1"/>
  <c r="S444" i="1"/>
  <c r="B445" i="1"/>
  <c r="E445" i="1" s="1"/>
  <c r="C445" i="1"/>
  <c r="D445" i="1" s="1"/>
  <c r="H445" i="1"/>
  <c r="B446" i="1"/>
  <c r="E446" i="1" s="1"/>
  <c r="C446" i="1"/>
  <c r="D446" i="1" s="1"/>
  <c r="H446" i="1"/>
  <c r="B447" i="1"/>
  <c r="E447" i="1" s="1"/>
  <c r="C447" i="1"/>
  <c r="D447" i="1" s="1"/>
  <c r="H447" i="1"/>
  <c r="B448" i="1"/>
  <c r="E448" i="1" s="1"/>
  <c r="C448" i="1"/>
  <c r="D448" i="1" s="1"/>
  <c r="H448" i="1"/>
  <c r="B449" i="1"/>
  <c r="E449" i="1" s="1"/>
  <c r="C449" i="1"/>
  <c r="D449" i="1" s="1"/>
  <c r="H449" i="1"/>
  <c r="B450" i="1"/>
  <c r="E450" i="1" s="1"/>
  <c r="C450" i="1"/>
  <c r="D450" i="1" s="1"/>
  <c r="H450" i="1"/>
  <c r="B451" i="1"/>
  <c r="E451" i="1" s="1"/>
  <c r="C451" i="1"/>
  <c r="D451" i="1" s="1"/>
  <c r="H451" i="1"/>
  <c r="B452" i="1"/>
  <c r="E452" i="1" s="1"/>
  <c r="C452" i="1"/>
  <c r="D452" i="1" s="1"/>
  <c r="H452" i="1"/>
  <c r="B453" i="1"/>
  <c r="E453" i="1" s="1"/>
  <c r="C453" i="1"/>
  <c r="D453" i="1" s="1"/>
  <c r="H453" i="1"/>
  <c r="B454" i="1"/>
  <c r="E454" i="1" s="1"/>
  <c r="C454" i="1"/>
  <c r="D454" i="1" s="1"/>
  <c r="H454" i="1"/>
  <c r="B455" i="1"/>
  <c r="E455" i="1" s="1"/>
  <c r="C455" i="1"/>
  <c r="D455" i="1" s="1"/>
  <c r="H455" i="1"/>
  <c r="B456" i="1"/>
  <c r="E456" i="1" s="1"/>
  <c r="C456" i="1"/>
  <c r="D456" i="1" s="1"/>
  <c r="H456" i="1"/>
  <c r="B457" i="1"/>
  <c r="E457" i="1" s="1"/>
  <c r="C457" i="1"/>
  <c r="D457" i="1" s="1"/>
  <c r="H457" i="1"/>
  <c r="B458" i="1"/>
  <c r="E458" i="1" s="1"/>
  <c r="C458" i="1"/>
  <c r="D458" i="1" s="1"/>
  <c r="H458" i="1"/>
  <c r="B459" i="1"/>
  <c r="E459" i="1" s="1"/>
  <c r="C459" i="1"/>
  <c r="D459" i="1" s="1"/>
  <c r="H459" i="1"/>
  <c r="B460" i="1"/>
  <c r="E460" i="1" s="1"/>
  <c r="C460" i="1"/>
  <c r="D460" i="1" s="1"/>
  <c r="H460" i="1"/>
  <c r="B461" i="1"/>
  <c r="E461" i="1" s="1"/>
  <c r="C461" i="1"/>
  <c r="D461" i="1" s="1"/>
  <c r="H461" i="1"/>
  <c r="B462" i="1"/>
  <c r="E462" i="1" s="1"/>
  <c r="C462" i="1"/>
  <c r="D462" i="1" s="1"/>
  <c r="H462" i="1"/>
  <c r="B463" i="1"/>
  <c r="E463" i="1" s="1"/>
  <c r="C463" i="1"/>
  <c r="D463" i="1" s="1"/>
  <c r="H463" i="1"/>
  <c r="B464" i="1"/>
  <c r="E464" i="1" s="1"/>
  <c r="C464" i="1"/>
  <c r="D464" i="1" s="1"/>
  <c r="H464" i="1"/>
  <c r="B465" i="1"/>
  <c r="E465" i="1" s="1"/>
  <c r="C465" i="1"/>
  <c r="D465" i="1" s="1"/>
  <c r="H465" i="1"/>
  <c r="B466" i="1"/>
  <c r="E466" i="1" s="1"/>
  <c r="C466" i="1"/>
  <c r="D466" i="1" s="1"/>
  <c r="H466" i="1"/>
  <c r="B467" i="1"/>
  <c r="E467" i="1" s="1"/>
  <c r="C467" i="1"/>
  <c r="D467" i="1" s="1"/>
  <c r="H467" i="1"/>
  <c r="B468" i="1"/>
  <c r="E468" i="1" s="1"/>
  <c r="C468" i="1"/>
  <c r="D468" i="1" s="1"/>
  <c r="H468" i="1"/>
  <c r="B469" i="1"/>
  <c r="E469" i="1" s="1"/>
  <c r="C469" i="1"/>
  <c r="D469" i="1" s="1"/>
  <c r="H469" i="1"/>
  <c r="B470" i="1"/>
  <c r="E470" i="1" s="1"/>
  <c r="C470" i="1"/>
  <c r="D470" i="1" s="1"/>
  <c r="H470" i="1"/>
  <c r="B471" i="1"/>
  <c r="E471" i="1" s="1"/>
  <c r="C471" i="1"/>
  <c r="D471" i="1" s="1"/>
  <c r="H471" i="1"/>
  <c r="B472" i="1"/>
  <c r="E472" i="1" s="1"/>
  <c r="C472" i="1"/>
  <c r="D472" i="1" s="1"/>
  <c r="H472" i="1"/>
  <c r="B473" i="1"/>
  <c r="E473" i="1" s="1"/>
  <c r="C473" i="1"/>
  <c r="D473" i="1" s="1"/>
  <c r="H473" i="1"/>
  <c r="B474" i="1"/>
  <c r="E474" i="1" s="1"/>
  <c r="C474" i="1"/>
  <c r="D474" i="1" s="1"/>
  <c r="H474" i="1"/>
  <c r="B475" i="1"/>
  <c r="E475" i="1" s="1"/>
  <c r="C475" i="1"/>
  <c r="D475" i="1" s="1"/>
  <c r="H475" i="1"/>
  <c r="B476" i="1"/>
  <c r="E476" i="1" s="1"/>
  <c r="C476" i="1"/>
  <c r="D476" i="1" s="1"/>
  <c r="H476" i="1"/>
  <c r="B477" i="1"/>
  <c r="E477" i="1" s="1"/>
  <c r="C477" i="1"/>
  <c r="D477" i="1" s="1"/>
  <c r="H477" i="1"/>
  <c r="B478" i="1"/>
  <c r="E478" i="1" s="1"/>
  <c r="C478" i="1"/>
  <c r="D478" i="1" s="1"/>
  <c r="H478" i="1"/>
  <c r="B479" i="1"/>
  <c r="E479" i="1" s="1"/>
  <c r="C479" i="1"/>
  <c r="D479" i="1" s="1"/>
  <c r="H479" i="1"/>
  <c r="B480" i="1"/>
  <c r="E480" i="1" s="1"/>
  <c r="C480" i="1"/>
  <c r="D480" i="1" s="1"/>
  <c r="H480" i="1"/>
  <c r="B481" i="1"/>
  <c r="E481" i="1" s="1"/>
  <c r="C481" i="1"/>
  <c r="D481" i="1" s="1"/>
  <c r="H481" i="1"/>
  <c r="B482" i="1"/>
  <c r="E482" i="1" s="1"/>
  <c r="C482" i="1"/>
  <c r="D482" i="1" s="1"/>
  <c r="H482" i="1"/>
  <c r="B483" i="1"/>
  <c r="E483" i="1" s="1"/>
  <c r="C483" i="1"/>
  <c r="D483" i="1" s="1"/>
  <c r="H483" i="1"/>
  <c r="B484" i="1"/>
  <c r="E484" i="1" s="1"/>
  <c r="C484" i="1"/>
  <c r="D484" i="1" s="1"/>
  <c r="H484" i="1"/>
  <c r="B485" i="1"/>
  <c r="E485" i="1" s="1"/>
  <c r="C485" i="1"/>
  <c r="D485" i="1" s="1"/>
  <c r="H485" i="1"/>
  <c r="B486" i="1"/>
  <c r="E486" i="1" s="1"/>
  <c r="C486" i="1"/>
  <c r="D486" i="1" s="1"/>
  <c r="H486" i="1"/>
  <c r="B487" i="1"/>
  <c r="E487" i="1" s="1"/>
  <c r="C487" i="1"/>
  <c r="D487" i="1" s="1"/>
  <c r="H487" i="1"/>
  <c r="B488" i="1"/>
  <c r="E488" i="1" s="1"/>
  <c r="C488" i="1"/>
  <c r="D488" i="1" s="1"/>
  <c r="H488" i="1"/>
  <c r="B489" i="1"/>
  <c r="E489" i="1" s="1"/>
  <c r="C489" i="1"/>
  <c r="D489" i="1" s="1"/>
  <c r="H489" i="1"/>
  <c r="B490" i="1"/>
  <c r="E490" i="1" s="1"/>
  <c r="C490" i="1"/>
  <c r="D490" i="1" s="1"/>
  <c r="H490" i="1"/>
  <c r="B491" i="1"/>
  <c r="E491" i="1" s="1"/>
  <c r="C491" i="1"/>
  <c r="D491" i="1" s="1"/>
  <c r="H491" i="1"/>
  <c r="B492" i="1"/>
  <c r="E492" i="1" s="1"/>
  <c r="C492" i="1"/>
  <c r="D492" i="1" s="1"/>
  <c r="H492" i="1"/>
  <c r="B493" i="1"/>
  <c r="E493" i="1" s="1"/>
  <c r="C493" i="1"/>
  <c r="D493" i="1" s="1"/>
  <c r="H493" i="1"/>
  <c r="B494" i="1"/>
  <c r="E494" i="1" s="1"/>
  <c r="C494" i="1"/>
  <c r="D494" i="1" s="1"/>
  <c r="H494" i="1"/>
  <c r="B495" i="1"/>
  <c r="E495" i="1" s="1"/>
  <c r="C495" i="1"/>
  <c r="D495" i="1" s="1"/>
  <c r="H495" i="1"/>
  <c r="B496" i="1"/>
  <c r="E496" i="1" s="1"/>
  <c r="C496" i="1"/>
  <c r="D496" i="1" s="1"/>
  <c r="H496" i="1"/>
  <c r="B497" i="1"/>
  <c r="E497" i="1" s="1"/>
  <c r="C497" i="1"/>
  <c r="D497" i="1" s="1"/>
  <c r="H497" i="1"/>
  <c r="B498" i="1"/>
  <c r="E498" i="1" s="1"/>
  <c r="C498" i="1"/>
  <c r="D498" i="1" s="1"/>
  <c r="H498" i="1"/>
  <c r="B499" i="1"/>
  <c r="E499" i="1" s="1"/>
  <c r="C499" i="1"/>
  <c r="D499" i="1" s="1"/>
  <c r="H499" i="1"/>
  <c r="B500" i="1"/>
  <c r="E500" i="1" s="1"/>
  <c r="C500" i="1"/>
  <c r="D500" i="1" s="1"/>
  <c r="H500" i="1"/>
  <c r="B501" i="1"/>
  <c r="C501" i="1"/>
  <c r="D501" i="1" s="1"/>
  <c r="H501" i="1"/>
  <c r="B502" i="1"/>
  <c r="C502" i="1"/>
  <c r="D502" i="1" s="1"/>
  <c r="H502" i="1"/>
  <c r="B503" i="1"/>
  <c r="C503" i="1"/>
  <c r="D503" i="1" s="1"/>
  <c r="H503" i="1"/>
  <c r="B504" i="1"/>
  <c r="C504" i="1"/>
  <c r="D504" i="1" s="1"/>
  <c r="H504" i="1"/>
  <c r="B505" i="1"/>
  <c r="C505" i="1"/>
  <c r="D505" i="1" s="1"/>
  <c r="H505" i="1"/>
  <c r="B506" i="1"/>
  <c r="C506" i="1"/>
  <c r="D506" i="1" s="1"/>
  <c r="H506" i="1"/>
  <c r="B507" i="1"/>
  <c r="C507" i="1"/>
  <c r="D507" i="1" s="1"/>
  <c r="H507" i="1"/>
  <c r="S507" i="1"/>
  <c r="B508" i="1"/>
  <c r="C508" i="1"/>
  <c r="D508" i="1" s="1"/>
  <c r="H508" i="1"/>
  <c r="B509" i="1"/>
  <c r="C509" i="1"/>
  <c r="D509" i="1" s="1"/>
  <c r="H509" i="1"/>
  <c r="B510" i="1"/>
  <c r="C510" i="1"/>
  <c r="D510" i="1" s="1"/>
  <c r="H510" i="1"/>
  <c r="B511" i="1"/>
  <c r="C511" i="1"/>
  <c r="D511" i="1" s="1"/>
  <c r="H511" i="1"/>
  <c r="B512" i="1"/>
  <c r="C512" i="1"/>
  <c r="D512" i="1" s="1"/>
  <c r="H512" i="1"/>
  <c r="B513" i="1"/>
  <c r="C513" i="1"/>
  <c r="D513" i="1" s="1"/>
  <c r="H513" i="1"/>
  <c r="B514" i="1"/>
  <c r="C514" i="1"/>
  <c r="D514" i="1" s="1"/>
  <c r="H514" i="1"/>
  <c r="B515" i="1"/>
  <c r="C515" i="1"/>
  <c r="D515" i="1" s="1"/>
  <c r="H515" i="1"/>
  <c r="B516" i="1"/>
  <c r="C516" i="1"/>
  <c r="D516" i="1" s="1"/>
  <c r="H516" i="1"/>
  <c r="B517" i="1"/>
  <c r="C517" i="1"/>
  <c r="D517" i="1" s="1"/>
  <c r="H517" i="1"/>
  <c r="B518" i="1"/>
  <c r="C518" i="1"/>
  <c r="D518" i="1" s="1"/>
  <c r="H518" i="1"/>
  <c r="B519" i="1"/>
  <c r="C519" i="1"/>
  <c r="D519" i="1" s="1"/>
  <c r="H519" i="1"/>
  <c r="B521" i="1"/>
  <c r="E521" i="1" s="1"/>
  <c r="C521" i="1"/>
  <c r="D521" i="1" s="1"/>
  <c r="H521" i="1"/>
  <c r="B522" i="1"/>
  <c r="E522" i="1" s="1"/>
  <c r="C522" i="1"/>
  <c r="D522" i="1" s="1"/>
  <c r="H522" i="1"/>
  <c r="B523" i="1"/>
  <c r="E523" i="1" s="1"/>
  <c r="C523" i="1"/>
  <c r="D523" i="1" s="1"/>
  <c r="H523" i="1"/>
  <c r="B524" i="1"/>
  <c r="E524" i="1" s="1"/>
  <c r="C524" i="1"/>
  <c r="D524" i="1" s="1"/>
  <c r="H524" i="1"/>
  <c r="B525" i="1"/>
  <c r="E525" i="1" s="1"/>
  <c r="C525" i="1"/>
  <c r="D525" i="1" s="1"/>
  <c r="H525" i="1"/>
  <c r="B526" i="1"/>
  <c r="E526" i="1" s="1"/>
  <c r="C526" i="1"/>
  <c r="D526" i="1" s="1"/>
  <c r="H526" i="1"/>
  <c r="B527" i="1"/>
  <c r="E527" i="1" s="1"/>
  <c r="C527" i="1"/>
  <c r="D527" i="1" s="1"/>
  <c r="H527" i="1"/>
  <c r="B528" i="1"/>
  <c r="E528" i="1" s="1"/>
  <c r="C528" i="1"/>
  <c r="D528" i="1" s="1"/>
  <c r="H528" i="1"/>
  <c r="B529" i="1"/>
  <c r="E529" i="1" s="1"/>
  <c r="C529" i="1"/>
  <c r="D529" i="1" s="1"/>
  <c r="H529" i="1"/>
  <c r="B530" i="1"/>
  <c r="E530" i="1" s="1"/>
  <c r="C530" i="1"/>
  <c r="D530" i="1" s="1"/>
  <c r="H530" i="1"/>
  <c r="B531" i="1"/>
  <c r="E531" i="1" s="1"/>
  <c r="C531" i="1"/>
  <c r="D531" i="1" s="1"/>
  <c r="H531" i="1"/>
  <c r="B532" i="1"/>
  <c r="E532" i="1" s="1"/>
  <c r="C532" i="1"/>
  <c r="D532" i="1" s="1"/>
  <c r="H532" i="1"/>
  <c r="B533" i="1"/>
  <c r="E533" i="1" s="1"/>
  <c r="C533" i="1"/>
  <c r="D533" i="1" s="1"/>
  <c r="H533" i="1"/>
  <c r="B534" i="1"/>
  <c r="E534" i="1" s="1"/>
  <c r="C534" i="1"/>
  <c r="D534" i="1" s="1"/>
  <c r="H534" i="1"/>
  <c r="B535" i="1"/>
  <c r="E535" i="1" s="1"/>
  <c r="C535" i="1"/>
  <c r="D535" i="1" s="1"/>
  <c r="H535" i="1"/>
  <c r="B536" i="1"/>
  <c r="E536" i="1" s="1"/>
  <c r="C536" i="1"/>
  <c r="D536" i="1" s="1"/>
  <c r="H536" i="1"/>
  <c r="B537" i="1"/>
  <c r="E537" i="1" s="1"/>
  <c r="C537" i="1"/>
  <c r="D537" i="1" s="1"/>
  <c r="H537" i="1"/>
  <c r="B538" i="1"/>
  <c r="E538" i="1" s="1"/>
  <c r="C538" i="1"/>
  <c r="D538" i="1" s="1"/>
  <c r="H538" i="1"/>
  <c r="B539" i="1"/>
  <c r="E539" i="1" s="1"/>
  <c r="C539" i="1"/>
  <c r="D539" i="1" s="1"/>
  <c r="H539" i="1"/>
  <c r="B540" i="1"/>
  <c r="E540" i="1" s="1"/>
  <c r="C540" i="1"/>
  <c r="D540" i="1" s="1"/>
  <c r="H540" i="1"/>
  <c r="B541" i="1"/>
  <c r="E541" i="1" s="1"/>
  <c r="C541" i="1"/>
  <c r="D541" i="1" s="1"/>
  <c r="H541" i="1"/>
  <c r="B542" i="1"/>
  <c r="E542" i="1" s="1"/>
  <c r="C542" i="1"/>
  <c r="D542" i="1" s="1"/>
  <c r="H542" i="1"/>
  <c r="B543" i="1"/>
  <c r="E543" i="1" s="1"/>
  <c r="C543" i="1"/>
  <c r="D543" i="1" s="1"/>
  <c r="H543" i="1"/>
  <c r="B544" i="1"/>
  <c r="E544" i="1" s="1"/>
  <c r="C544" i="1"/>
  <c r="D544" i="1" s="1"/>
  <c r="H544" i="1"/>
  <c r="B545" i="1"/>
  <c r="E545" i="1" s="1"/>
  <c r="C545" i="1"/>
  <c r="D545" i="1" s="1"/>
  <c r="H545" i="1"/>
  <c r="B546" i="1"/>
  <c r="E546" i="1" s="1"/>
  <c r="C546" i="1"/>
  <c r="D546" i="1" s="1"/>
  <c r="H546" i="1"/>
  <c r="B547" i="1"/>
  <c r="E547" i="1" s="1"/>
  <c r="C547" i="1"/>
  <c r="D547" i="1" s="1"/>
  <c r="H547" i="1"/>
  <c r="B548" i="1"/>
  <c r="E548" i="1" s="1"/>
  <c r="C548" i="1"/>
  <c r="D548" i="1" s="1"/>
  <c r="H548" i="1"/>
  <c r="B549" i="1"/>
  <c r="E549" i="1" s="1"/>
  <c r="C549" i="1"/>
  <c r="D549" i="1" s="1"/>
  <c r="H549" i="1"/>
  <c r="B550" i="1"/>
  <c r="E550" i="1" s="1"/>
  <c r="C550" i="1"/>
  <c r="D550" i="1" s="1"/>
  <c r="H550" i="1"/>
  <c r="B551" i="1"/>
  <c r="E551" i="1" s="1"/>
  <c r="C551" i="1"/>
  <c r="D551" i="1" s="1"/>
  <c r="H551" i="1"/>
  <c r="B552" i="1"/>
  <c r="E552" i="1" s="1"/>
  <c r="C552" i="1"/>
  <c r="D552" i="1" s="1"/>
  <c r="H552" i="1"/>
  <c r="B553" i="1"/>
  <c r="E553" i="1" s="1"/>
  <c r="C553" i="1"/>
  <c r="D553" i="1" s="1"/>
  <c r="H553" i="1"/>
  <c r="B554" i="1"/>
  <c r="E554" i="1" s="1"/>
  <c r="C554" i="1"/>
  <c r="D554" i="1" s="1"/>
  <c r="H554" i="1"/>
  <c r="B555" i="1"/>
  <c r="E555" i="1" s="1"/>
  <c r="C555" i="1"/>
  <c r="D555" i="1" s="1"/>
  <c r="H555" i="1"/>
  <c r="B556" i="1"/>
  <c r="E556" i="1" s="1"/>
  <c r="C556" i="1"/>
  <c r="D556" i="1" s="1"/>
  <c r="H556" i="1"/>
  <c r="B557" i="1"/>
  <c r="E557" i="1" s="1"/>
  <c r="C557" i="1"/>
  <c r="D557" i="1" s="1"/>
  <c r="H557" i="1"/>
  <c r="B558" i="1"/>
  <c r="E558" i="1" s="1"/>
  <c r="C558" i="1"/>
  <c r="D558" i="1" s="1"/>
  <c r="H558" i="1"/>
  <c r="B559" i="1"/>
  <c r="E559" i="1" s="1"/>
  <c r="C559" i="1"/>
  <c r="D559" i="1" s="1"/>
  <c r="H559" i="1"/>
  <c r="B560" i="1"/>
  <c r="E560" i="1" s="1"/>
  <c r="C560" i="1"/>
  <c r="D560" i="1" s="1"/>
  <c r="H560" i="1"/>
  <c r="B561" i="1"/>
  <c r="E561" i="1" s="1"/>
  <c r="C561" i="1"/>
  <c r="D561" i="1" s="1"/>
  <c r="H561" i="1"/>
  <c r="B562" i="1"/>
  <c r="E562" i="1" s="1"/>
  <c r="C562" i="1"/>
  <c r="D562" i="1" s="1"/>
  <c r="H562" i="1"/>
  <c r="B563" i="1"/>
  <c r="E563" i="1" s="1"/>
  <c r="C563" i="1"/>
  <c r="D563" i="1" s="1"/>
  <c r="H563" i="1"/>
  <c r="B564" i="1"/>
  <c r="E564" i="1" s="1"/>
  <c r="C564" i="1"/>
  <c r="D564" i="1" s="1"/>
  <c r="H564" i="1"/>
  <c r="B565" i="1"/>
  <c r="E565" i="1" s="1"/>
  <c r="C565" i="1"/>
  <c r="D565" i="1" s="1"/>
  <c r="H565" i="1"/>
  <c r="B566" i="1"/>
  <c r="E566" i="1" s="1"/>
  <c r="C566" i="1"/>
  <c r="D566" i="1" s="1"/>
  <c r="H566" i="1"/>
  <c r="B567" i="1"/>
  <c r="E567" i="1" s="1"/>
  <c r="C567" i="1"/>
  <c r="D567" i="1" s="1"/>
  <c r="H567" i="1"/>
  <c r="B568" i="1"/>
  <c r="E568" i="1" s="1"/>
  <c r="C568" i="1"/>
  <c r="D568" i="1" s="1"/>
  <c r="H568" i="1"/>
  <c r="B569" i="1"/>
  <c r="E569" i="1" s="1"/>
  <c r="C569" i="1"/>
  <c r="D569" i="1" s="1"/>
  <c r="H569" i="1"/>
  <c r="B570" i="1"/>
  <c r="E570" i="1" s="1"/>
  <c r="C570" i="1"/>
  <c r="D570" i="1" s="1"/>
  <c r="H570" i="1"/>
  <c r="B571" i="1"/>
  <c r="E571" i="1" s="1"/>
  <c r="C571" i="1"/>
  <c r="D571" i="1" s="1"/>
  <c r="H571" i="1"/>
  <c r="B572" i="1"/>
  <c r="E572" i="1" s="1"/>
  <c r="C572" i="1"/>
  <c r="D572" i="1" s="1"/>
  <c r="H572" i="1"/>
  <c r="B573" i="1"/>
  <c r="E573" i="1" s="1"/>
  <c r="C573" i="1"/>
  <c r="D573" i="1" s="1"/>
  <c r="H573" i="1"/>
  <c r="B574" i="1"/>
  <c r="E574" i="1" s="1"/>
  <c r="C574" i="1"/>
  <c r="D574" i="1" s="1"/>
  <c r="H574" i="1"/>
  <c r="B575" i="1"/>
  <c r="E575" i="1" s="1"/>
  <c r="C575" i="1"/>
  <c r="D575" i="1" s="1"/>
  <c r="H575" i="1"/>
  <c r="B576" i="1"/>
  <c r="E576" i="1" s="1"/>
  <c r="C576" i="1"/>
  <c r="D576" i="1" s="1"/>
  <c r="H576" i="1"/>
  <c r="B577" i="1"/>
  <c r="E577" i="1" s="1"/>
  <c r="C577" i="1"/>
  <c r="D577" i="1" s="1"/>
  <c r="H577" i="1"/>
  <c r="B578" i="1"/>
  <c r="E578" i="1" s="1"/>
  <c r="C578" i="1"/>
  <c r="D578" i="1" s="1"/>
  <c r="H578" i="1"/>
  <c r="B579" i="1"/>
  <c r="E579" i="1" s="1"/>
  <c r="C579" i="1"/>
  <c r="D579" i="1" s="1"/>
  <c r="H579" i="1"/>
  <c r="B581" i="1"/>
  <c r="E581" i="1" s="1"/>
  <c r="C581" i="1"/>
  <c r="D581" i="1" s="1"/>
  <c r="H581" i="1"/>
  <c r="B582" i="1"/>
  <c r="E582" i="1" s="1"/>
  <c r="C582" i="1"/>
  <c r="D582" i="1" s="1"/>
  <c r="H582" i="1"/>
  <c r="B583" i="1"/>
  <c r="E583" i="1" s="1"/>
  <c r="C583" i="1"/>
  <c r="D583" i="1" s="1"/>
  <c r="H583" i="1"/>
  <c r="B584" i="1"/>
  <c r="E584" i="1" s="1"/>
  <c r="C584" i="1"/>
  <c r="D584" i="1" s="1"/>
  <c r="H584" i="1"/>
  <c r="B585" i="1"/>
  <c r="E585" i="1" s="1"/>
  <c r="C585" i="1"/>
  <c r="D585" i="1" s="1"/>
  <c r="H585" i="1"/>
  <c r="B586" i="1"/>
  <c r="E586" i="1" s="1"/>
  <c r="C586" i="1"/>
  <c r="D586" i="1" s="1"/>
  <c r="H586" i="1"/>
  <c r="B587" i="1"/>
  <c r="E587" i="1" s="1"/>
  <c r="C587" i="1"/>
  <c r="D587" i="1" s="1"/>
  <c r="H587" i="1"/>
  <c r="B588" i="1"/>
  <c r="E588" i="1" s="1"/>
  <c r="C588" i="1"/>
  <c r="D588" i="1" s="1"/>
  <c r="H588" i="1"/>
  <c r="B589" i="1"/>
  <c r="E589" i="1" s="1"/>
  <c r="C589" i="1"/>
  <c r="D589" i="1" s="1"/>
  <c r="H589" i="1"/>
  <c r="B590" i="1"/>
  <c r="E590" i="1" s="1"/>
  <c r="C590" i="1"/>
  <c r="D590" i="1" s="1"/>
  <c r="H590" i="1"/>
  <c r="B591" i="1"/>
  <c r="C591" i="1"/>
  <c r="D591" i="1" s="1"/>
  <c r="H591" i="1"/>
  <c r="B592" i="1"/>
  <c r="C592" i="1"/>
  <c r="D592" i="1" s="1"/>
  <c r="H592" i="1"/>
  <c r="B593" i="1"/>
  <c r="C593" i="1"/>
  <c r="D593" i="1" s="1"/>
  <c r="H593" i="1"/>
  <c r="B594" i="1"/>
  <c r="E594" i="1" s="1"/>
  <c r="C594" i="1"/>
  <c r="D594" i="1" s="1"/>
  <c r="H594" i="1"/>
  <c r="B595" i="1"/>
  <c r="E595" i="1" s="1"/>
  <c r="C595" i="1"/>
  <c r="D595" i="1" s="1"/>
  <c r="H595" i="1"/>
  <c r="B596" i="1"/>
  <c r="E596" i="1" s="1"/>
  <c r="C596" i="1"/>
  <c r="D596" i="1" s="1"/>
  <c r="H596" i="1"/>
  <c r="B597" i="1"/>
  <c r="E597" i="1" s="1"/>
  <c r="C597" i="1"/>
  <c r="D597" i="1" s="1"/>
  <c r="H597" i="1"/>
  <c r="B598" i="1"/>
  <c r="E598" i="1" s="1"/>
  <c r="C598" i="1"/>
  <c r="D598" i="1" s="1"/>
  <c r="H598" i="1"/>
  <c r="B599" i="1"/>
  <c r="E599" i="1" s="1"/>
  <c r="C599" i="1"/>
  <c r="D599" i="1" s="1"/>
  <c r="H599" i="1"/>
  <c r="B600" i="1"/>
  <c r="E600" i="1" s="1"/>
  <c r="C600" i="1"/>
  <c r="D600" i="1" s="1"/>
  <c r="H600" i="1"/>
  <c r="B601" i="1"/>
  <c r="C601" i="1"/>
  <c r="D601" i="1" s="1"/>
  <c r="H601" i="1"/>
  <c r="N603" i="1"/>
  <c r="M603" i="1"/>
  <c r="B604" i="1"/>
  <c r="C604" i="1"/>
  <c r="D604" i="1" s="1"/>
  <c r="H604" i="1"/>
  <c r="B605" i="1"/>
  <c r="E605" i="1" s="1"/>
  <c r="C605" i="1"/>
  <c r="D605" i="1" s="1"/>
  <c r="H605" i="1"/>
  <c r="B606" i="1"/>
  <c r="E606" i="1" s="1"/>
  <c r="C606" i="1"/>
  <c r="D606" i="1" s="1"/>
  <c r="H606" i="1"/>
  <c r="B607" i="1"/>
  <c r="E607" i="1" s="1"/>
  <c r="C607" i="1"/>
  <c r="D607" i="1" s="1"/>
  <c r="H607" i="1"/>
  <c r="B608" i="1"/>
  <c r="E608" i="1" s="1"/>
  <c r="C608" i="1"/>
  <c r="D608" i="1" s="1"/>
  <c r="H608" i="1"/>
  <c r="B609" i="1"/>
  <c r="E609" i="1" s="1"/>
  <c r="C609" i="1"/>
  <c r="D609" i="1" s="1"/>
  <c r="H609" i="1"/>
  <c r="B610" i="1"/>
  <c r="E610" i="1" s="1"/>
  <c r="C610" i="1"/>
  <c r="D610" i="1" s="1"/>
  <c r="H610" i="1"/>
  <c r="B611" i="1"/>
  <c r="E611" i="1" s="1"/>
  <c r="C611" i="1"/>
  <c r="D611" i="1" s="1"/>
  <c r="H611" i="1"/>
  <c r="B612" i="1"/>
  <c r="E612" i="1" s="1"/>
  <c r="C612" i="1"/>
  <c r="D612" i="1" s="1"/>
  <c r="H612" i="1"/>
  <c r="B613" i="1"/>
  <c r="E613" i="1" s="1"/>
  <c r="C613" i="1"/>
  <c r="D613" i="1" s="1"/>
  <c r="H613" i="1"/>
  <c r="B614" i="1"/>
  <c r="E614" i="1" s="1"/>
  <c r="C614" i="1"/>
  <c r="D614" i="1" s="1"/>
  <c r="H614" i="1"/>
  <c r="B615" i="1"/>
  <c r="E615" i="1" s="1"/>
  <c r="C615" i="1"/>
  <c r="D615" i="1" s="1"/>
  <c r="H615" i="1"/>
  <c r="B616" i="1"/>
  <c r="E616" i="1" s="1"/>
  <c r="C616" i="1"/>
  <c r="D616" i="1" s="1"/>
  <c r="H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N293" i="1" l="1"/>
  <c r="M230" i="1"/>
  <c r="N31" i="1"/>
  <c r="M36" i="1"/>
  <c r="M48" i="1"/>
  <c r="M52" i="1"/>
  <c r="N53" i="1"/>
  <c r="N72" i="1"/>
  <c r="M85" i="1"/>
  <c r="N89" i="1"/>
  <c r="M106" i="1"/>
  <c r="M113" i="1"/>
  <c r="M114" i="1"/>
  <c r="M121" i="1"/>
  <c r="M122" i="1"/>
  <c r="M129" i="1"/>
  <c r="M137" i="1"/>
  <c r="M138" i="1"/>
  <c r="M145" i="1"/>
  <c r="M146" i="1"/>
  <c r="M153" i="1"/>
  <c r="M154" i="1"/>
  <c r="N303" i="1"/>
  <c r="P163" i="1"/>
  <c r="R168" i="1"/>
  <c r="N175" i="1"/>
  <c r="N176" i="1"/>
  <c r="N184" i="1"/>
  <c r="N204" i="1"/>
  <c r="P298" i="1"/>
  <c r="M248" i="1"/>
  <c r="M255" i="1"/>
  <c r="M263" i="1"/>
  <c r="O264" i="1"/>
  <c r="P350" i="1"/>
  <c r="P377" i="1"/>
  <c r="M385" i="1"/>
  <c r="O398" i="1"/>
  <c r="N598" i="1"/>
  <c r="M551" i="1"/>
  <c r="O346" i="1"/>
  <c r="M469" i="1"/>
  <c r="M445" i="1"/>
  <c r="P426" i="1"/>
  <c r="M389" i="1"/>
  <c r="M381" i="1"/>
  <c r="P211" i="1"/>
  <c r="N180" i="1"/>
  <c r="M102" i="1"/>
  <c r="M94" i="1"/>
  <c r="M585" i="1"/>
  <c r="O474" i="1"/>
  <c r="O466" i="1"/>
  <c r="M439" i="1"/>
  <c r="M423" i="1"/>
  <c r="P415" i="1"/>
  <c r="P407" i="1"/>
  <c r="M320" i="1"/>
  <c r="O221" i="1"/>
  <c r="N185" i="1"/>
  <c r="O325" i="1"/>
  <c r="N307" i="1"/>
  <c r="M28" i="1"/>
  <c r="M6" i="1"/>
  <c r="M589" i="1"/>
  <c r="O470" i="1"/>
  <c r="N435" i="1"/>
  <c r="P403" i="1"/>
  <c r="O314" i="1"/>
  <c r="P301" i="1"/>
  <c r="N253" i="1"/>
  <c r="N189" i="1"/>
  <c r="M92" i="1"/>
  <c r="M607" i="1"/>
  <c r="O582" i="1"/>
  <c r="M541" i="1"/>
  <c r="P362" i="1"/>
  <c r="P357" i="1"/>
  <c r="O342" i="1"/>
  <c r="M312" i="1"/>
  <c r="M304" i="1"/>
  <c r="M294" i="1"/>
  <c r="M283" i="1"/>
  <c r="M242" i="1"/>
  <c r="M232" i="1"/>
  <c r="P207" i="1"/>
  <c r="N205" i="1"/>
  <c r="X205" i="1" s="1"/>
  <c r="N190" i="1"/>
  <c r="Q169" i="1"/>
  <c r="N164" i="1"/>
  <c r="M155" i="1"/>
  <c r="M147" i="1"/>
  <c r="M139" i="1"/>
  <c r="M131" i="1"/>
  <c r="N86" i="1"/>
  <c r="N78" i="1"/>
  <c r="N73" i="1"/>
  <c r="N64" i="1"/>
  <c r="M27" i="1"/>
  <c r="M19" i="1"/>
  <c r="M10" i="1"/>
  <c r="N562" i="1"/>
  <c r="M538" i="1"/>
  <c r="M513" i="1"/>
  <c r="V513" i="1" s="1"/>
  <c r="M481" i="1"/>
  <c r="N442" i="1"/>
  <c r="N306" i="1"/>
  <c r="N252" i="1"/>
  <c r="P239" i="1"/>
  <c r="N187" i="1"/>
  <c r="N182" i="1"/>
  <c r="N174" i="1"/>
  <c r="M152" i="1"/>
  <c r="M144" i="1"/>
  <c r="M128" i="1"/>
  <c r="P346" i="1"/>
  <c r="O282" i="1"/>
  <c r="O249" i="1"/>
  <c r="M214" i="1"/>
  <c r="O209" i="1"/>
  <c r="N202" i="1"/>
  <c r="N197" i="1"/>
  <c r="N192" i="1"/>
  <c r="N179" i="1"/>
  <c r="M101" i="1"/>
  <c r="M93" i="1"/>
  <c r="N80" i="1"/>
  <c r="M66" i="1"/>
  <c r="N61" i="1"/>
  <c r="M9" i="1"/>
  <c r="M611" i="1"/>
  <c r="P561" i="1"/>
  <c r="M545" i="1"/>
  <c r="M521" i="1"/>
  <c r="O491" i="1"/>
  <c r="P483" i="1"/>
  <c r="P451" i="1"/>
  <c r="N441" i="1"/>
  <c r="M366" i="1"/>
  <c r="P338" i="1"/>
  <c r="N318" i="1"/>
  <c r="M308" i="1"/>
  <c r="P246" i="1"/>
  <c r="M236" i="1"/>
  <c r="N216" i="1"/>
  <c r="N186" i="1"/>
  <c r="N181" i="1"/>
  <c r="M103" i="1"/>
  <c r="M95" i="1"/>
  <c r="P616" i="1"/>
  <c r="M605" i="1"/>
  <c r="M379" i="1"/>
  <c r="M371" i="1"/>
  <c r="N343" i="1"/>
  <c r="O335" i="1"/>
  <c r="P290" i="1"/>
  <c r="M266" i="1"/>
  <c r="M240" i="1"/>
  <c r="N233" i="1"/>
  <c r="N191" i="1"/>
  <c r="M105" i="1"/>
  <c r="M100" i="1"/>
  <c r="M57" i="1"/>
  <c r="N350" i="1"/>
  <c r="N134" i="1"/>
  <c r="N44" i="1"/>
  <c r="M543" i="1"/>
  <c r="M548" i="1"/>
  <c r="V548" i="1" s="1"/>
  <c r="N566" i="1"/>
  <c r="N529" i="1"/>
  <c r="O576" i="1"/>
  <c r="M568" i="1"/>
  <c r="O539" i="1"/>
  <c r="M573" i="1"/>
  <c r="V573" i="1" s="1"/>
  <c r="M557" i="1"/>
  <c r="M536" i="1"/>
  <c r="V536" i="1" s="1"/>
  <c r="M523" i="1"/>
  <c r="O262" i="1"/>
  <c r="N262" i="1"/>
  <c r="M570" i="1"/>
  <c r="M560" i="1"/>
  <c r="V560" i="1" s="1"/>
  <c r="O552" i="1"/>
  <c r="M530" i="1"/>
  <c r="V530" i="1" s="1"/>
  <c r="P525" i="1"/>
  <c r="O516" i="1"/>
  <c r="N495" i="1"/>
  <c r="O487" i="1"/>
  <c r="O436" i="1"/>
  <c r="P399" i="1"/>
  <c r="O394" i="1"/>
  <c r="N373" i="1"/>
  <c r="M368" i="1"/>
  <c r="M334" i="1"/>
  <c r="O322" i="1"/>
  <c r="P317" i="1"/>
  <c r="O310" i="1"/>
  <c r="N291" i="1"/>
  <c r="M258" i="1"/>
  <c r="M244" i="1"/>
  <c r="N199" i="1"/>
  <c r="N194" i="1"/>
  <c r="N171" i="1"/>
  <c r="N166" i="1"/>
  <c r="M149" i="1"/>
  <c r="M141" i="1"/>
  <c r="M133" i="1"/>
  <c r="M97" i="1"/>
  <c r="N92" i="1"/>
  <c r="M77" i="1"/>
  <c r="M68" i="1"/>
  <c r="N63" i="1"/>
  <c r="M58" i="1"/>
  <c r="M608" i="1"/>
  <c r="O350" i="1"/>
  <c r="M615" i="1"/>
  <c r="O586" i="1"/>
  <c r="P581" i="1"/>
  <c r="P572" i="1"/>
  <c r="O554" i="1"/>
  <c r="M549" i="1"/>
  <c r="V549" i="1" s="1"/>
  <c r="O544" i="1"/>
  <c r="P529" i="1"/>
  <c r="P510" i="1"/>
  <c r="M505" i="1"/>
  <c r="V505" i="1" s="1"/>
  <c r="O438" i="1"/>
  <c r="P370" i="1"/>
  <c r="N365" i="1"/>
  <c r="M362" i="1"/>
  <c r="M348" i="1"/>
  <c r="M346" i="1"/>
  <c r="X346" i="1" s="1"/>
  <c r="O329" i="1"/>
  <c r="N282" i="1"/>
  <c r="M277" i="1"/>
  <c r="N270" i="1"/>
  <c r="P215" i="1"/>
  <c r="N210" i="1"/>
  <c r="Q201" i="1"/>
  <c r="N196" i="1"/>
  <c r="N178" i="1"/>
  <c r="N173" i="1"/>
  <c r="M151" i="1"/>
  <c r="M143" i="1"/>
  <c r="M125" i="1"/>
  <c r="M120" i="1"/>
  <c r="M112" i="1"/>
  <c r="M99" i="1"/>
  <c r="M60" i="1"/>
  <c r="M50" i="1"/>
  <c r="N45" i="1"/>
  <c r="N37" i="1"/>
  <c r="N28" i="1"/>
  <c r="X28" i="1" s="1"/>
  <c r="N23" i="1"/>
  <c r="N15" i="1"/>
  <c r="N596" i="1"/>
  <c r="N257" i="1"/>
  <c r="N248" i="1"/>
  <c r="Q203" i="1"/>
  <c r="N198" i="1"/>
  <c r="N193" i="1"/>
  <c r="N188" i="1"/>
  <c r="N183" i="1"/>
  <c r="N170" i="1"/>
  <c r="R165" i="1"/>
  <c r="M156" i="1"/>
  <c r="M148" i="1"/>
  <c r="M140" i="1"/>
  <c r="N122" i="1"/>
  <c r="M117" i="1"/>
  <c r="M109" i="1"/>
  <c r="M104" i="1"/>
  <c r="M96" i="1"/>
  <c r="N91" i="1"/>
  <c r="N81" i="1"/>
  <c r="M42" i="1"/>
  <c r="M33" i="1"/>
  <c r="N20" i="1"/>
  <c r="N11" i="1"/>
  <c r="M8" i="1"/>
  <c r="P221" i="1"/>
  <c r="N36" i="1"/>
  <c r="M25" i="1"/>
  <c r="M17" i="1"/>
  <c r="O614" i="1"/>
  <c r="N600" i="1"/>
  <c r="O590" i="1"/>
  <c r="M579" i="1"/>
  <c r="V579" i="1" s="1"/>
  <c r="M571" i="1"/>
  <c r="V571" i="1" s="1"/>
  <c r="O553" i="1"/>
  <c r="P526" i="1"/>
  <c r="O504" i="1"/>
  <c r="M456" i="1"/>
  <c r="M448" i="1"/>
  <c r="P379" i="1"/>
  <c r="M374" i="1"/>
  <c r="M354" i="1"/>
  <c r="M347" i="1"/>
  <c r="N292" i="1"/>
  <c r="P269" i="1"/>
  <c r="N200" i="1"/>
  <c r="N195" i="1"/>
  <c r="N177" i="1"/>
  <c r="N172" i="1"/>
  <c r="N167" i="1"/>
  <c r="M150" i="1"/>
  <c r="M142" i="1"/>
  <c r="N116" i="1"/>
  <c r="M98" i="1"/>
  <c r="N88" i="1"/>
  <c r="M83" i="1"/>
  <c r="N69" i="1"/>
  <c r="M44" i="1"/>
  <c r="N100" i="1"/>
  <c r="M38" i="1"/>
  <c r="M24" i="1"/>
  <c r="M473" i="1"/>
  <c r="M465" i="1"/>
  <c r="M460" i="1"/>
  <c r="O501" i="1"/>
  <c r="O529" i="1"/>
  <c r="M432" i="1"/>
  <c r="O424" i="1"/>
  <c r="M416" i="1"/>
  <c r="M411" i="1"/>
  <c r="M391" i="1"/>
  <c r="M421" i="1"/>
  <c r="N387" i="1"/>
  <c r="M437" i="1"/>
  <c r="N425" i="1"/>
  <c r="O390" i="1"/>
  <c r="P395" i="1"/>
  <c r="M387" i="1"/>
  <c r="N383" i="1"/>
  <c r="O422" i="1"/>
  <c r="M412" i="1"/>
  <c r="O402" i="1"/>
  <c r="O382" i="1"/>
  <c r="P431" i="1"/>
  <c r="O406" i="1"/>
  <c r="O386" i="1"/>
  <c r="N519" i="1"/>
  <c r="M493" i="1"/>
  <c r="V493" i="1" s="1"/>
  <c r="O488" i="1"/>
  <c r="O472" i="1"/>
  <c r="O462" i="1"/>
  <c r="M508" i="1"/>
  <c r="V508" i="1" s="1"/>
  <c r="N503" i="1"/>
  <c r="M477" i="1"/>
  <c r="N502" i="1"/>
  <c r="O497" i="1"/>
  <c r="P444" i="1"/>
  <c r="M512" i="1"/>
  <c r="V512" i="1" s="1"/>
  <c r="M453" i="1"/>
  <c r="M56" i="1"/>
  <c r="X56" i="1" s="1"/>
  <c r="N56" i="1"/>
  <c r="P464" i="1"/>
  <c r="O464" i="1"/>
  <c r="O484" i="1"/>
  <c r="M484" i="1"/>
  <c r="P484" i="1"/>
  <c r="P436" i="1"/>
  <c r="M350" i="1"/>
  <c r="P262" i="1"/>
  <c r="O213" i="1"/>
  <c r="M107" i="1"/>
  <c r="M132" i="1"/>
  <c r="N560" i="1"/>
  <c r="N443" i="1"/>
  <c r="P318" i="1"/>
  <c r="M210" i="1"/>
  <c r="M526" i="1"/>
  <c r="V526" i="1" s="1"/>
  <c r="N497" i="1"/>
  <c r="O318" i="1"/>
  <c r="P291" i="1"/>
  <c r="N58" i="1"/>
  <c r="P394" i="1"/>
  <c r="N155" i="1"/>
  <c r="N147" i="1"/>
  <c r="N139" i="1"/>
  <c r="M49" i="1"/>
  <c r="N594" i="1"/>
  <c r="M594" i="1"/>
  <c r="O500" i="1"/>
  <c r="P500" i="1"/>
  <c r="M507" i="1"/>
  <c r="O507" i="1"/>
  <c r="N507" i="1"/>
  <c r="N459" i="1"/>
  <c r="O459" i="1"/>
  <c r="P459" i="1"/>
  <c r="M509" i="1"/>
  <c r="N509" i="1"/>
  <c r="O509" i="1"/>
  <c r="M612" i="1"/>
  <c r="P612" i="1"/>
  <c r="M234" i="1"/>
  <c r="P234" i="1"/>
  <c r="M613" i="1"/>
  <c r="O557" i="1"/>
  <c r="N551" i="1"/>
  <c r="O505" i="1"/>
  <c r="N472" i="1"/>
  <c r="N464" i="1"/>
  <c r="O379" i="1"/>
  <c r="P208" i="1"/>
  <c r="M158" i="1"/>
  <c r="N150" i="1"/>
  <c r="N142" i="1"/>
  <c r="X142" i="1" s="1"/>
  <c r="N77" i="1"/>
  <c r="M21" i="1"/>
  <c r="N557" i="1"/>
  <c r="O526" i="1"/>
  <c r="P523" i="1"/>
  <c r="P508" i="1"/>
  <c r="N505" i="1"/>
  <c r="M472" i="1"/>
  <c r="M464" i="1"/>
  <c r="N385" i="1"/>
  <c r="N379" i="1"/>
  <c r="M45" i="1"/>
  <c r="P606" i="1"/>
  <c r="M552" i="1"/>
  <c r="V552" i="1" s="1"/>
  <c r="N526" i="1"/>
  <c r="O523" i="1"/>
  <c r="M489" i="1"/>
  <c r="P487" i="1"/>
  <c r="N366" i="1"/>
  <c r="X122" i="1"/>
  <c r="N102" i="1"/>
  <c r="X102" i="1" s="1"/>
  <c r="M88" i="1"/>
  <c r="X88" i="1" s="1"/>
  <c r="M482" i="1"/>
  <c r="M459" i="1"/>
  <c r="V459" i="1" s="1"/>
  <c r="M446" i="1"/>
  <c r="N401" i="1"/>
  <c r="P371" i="1"/>
  <c r="M582" i="1"/>
  <c r="M554" i="1"/>
  <c r="V554" i="1" s="1"/>
  <c r="O548" i="1"/>
  <c r="M497" i="1"/>
  <c r="M425" i="1"/>
  <c r="N405" i="1"/>
  <c r="O371" i="1"/>
  <c r="O367" i="1"/>
  <c r="O330" i="1"/>
  <c r="O303" i="1"/>
  <c r="M298" i="1"/>
  <c r="O270" i="1"/>
  <c r="O257" i="1"/>
  <c r="N249" i="1"/>
  <c r="M163" i="1"/>
  <c r="N154" i="1"/>
  <c r="X154" i="1" s="1"/>
  <c r="N146" i="1"/>
  <c r="N138" i="1"/>
  <c r="N126" i="1"/>
  <c r="N106" i="1"/>
  <c r="X106" i="1" s="1"/>
  <c r="N548" i="1"/>
  <c r="N444" i="1"/>
  <c r="N409" i="1"/>
  <c r="P390" i="1"/>
  <c r="N371" i="1"/>
  <c r="M360" i="1"/>
  <c r="P358" i="1"/>
  <c r="O291" i="1"/>
  <c r="M287" i="1"/>
  <c r="N284" i="1"/>
  <c r="O225" i="1"/>
  <c r="P588" i="1"/>
  <c r="N484" i="1"/>
  <c r="N450" i="1"/>
  <c r="M444" i="1"/>
  <c r="X444" i="1" s="1"/>
  <c r="M390" i="1"/>
  <c r="M386" i="1"/>
  <c r="O365" i="1"/>
  <c r="N354" i="1"/>
  <c r="M343" i="1"/>
  <c r="N334" i="1"/>
  <c r="N130" i="1"/>
  <c r="N110" i="1"/>
  <c r="M41" i="1"/>
  <c r="N27" i="1"/>
  <c r="X27" i="1" s="1"/>
  <c r="N19" i="1"/>
  <c r="X19" i="1" s="1"/>
  <c r="M527" i="1"/>
  <c r="N527" i="1"/>
  <c r="M524" i="1"/>
  <c r="N524" i="1"/>
  <c r="O524" i="1"/>
  <c r="P480" i="1"/>
  <c r="M480" i="1"/>
  <c r="N480" i="1"/>
  <c r="O480" i="1"/>
  <c r="O420" i="1"/>
  <c r="P420" i="1"/>
  <c r="M339" i="1"/>
  <c r="O339" i="1"/>
  <c r="N339" i="1"/>
  <c r="N578" i="1"/>
  <c r="O578" i="1"/>
  <c r="P578" i="1"/>
  <c r="M578" i="1"/>
  <c r="V578" i="1" s="1"/>
  <c r="M452" i="1"/>
  <c r="N452" i="1"/>
  <c r="M492" i="1"/>
  <c r="V492" i="1" s="1"/>
  <c r="N492" i="1"/>
  <c r="O492" i="1"/>
  <c r="P492" i="1"/>
  <c r="M429" i="1"/>
  <c r="N429" i="1"/>
  <c r="O575" i="1"/>
  <c r="M575" i="1"/>
  <c r="V575" i="1" s="1"/>
  <c r="N575" i="1"/>
  <c r="N419" i="1"/>
  <c r="M419" i="1"/>
  <c r="O559" i="1"/>
  <c r="M559" i="1"/>
  <c r="N559" i="1"/>
  <c r="O528" i="1"/>
  <c r="P528" i="1"/>
  <c r="M476" i="1"/>
  <c r="N476" i="1"/>
  <c r="O476" i="1"/>
  <c r="P476" i="1"/>
  <c r="M428" i="1"/>
  <c r="N428" i="1"/>
  <c r="O428" i="1"/>
  <c r="P428" i="1"/>
  <c r="M535" i="1"/>
  <c r="N535" i="1"/>
  <c r="P532" i="1"/>
  <c r="M532" i="1"/>
  <c r="N532" i="1"/>
  <c r="O532" i="1"/>
  <c r="M468" i="1"/>
  <c r="N468" i="1"/>
  <c r="O468" i="1"/>
  <c r="P468" i="1"/>
  <c r="M565" i="1"/>
  <c r="O565" i="1"/>
  <c r="M363" i="1"/>
  <c r="N363" i="1"/>
  <c r="O363" i="1"/>
  <c r="P363" i="1"/>
  <c r="N564" i="1"/>
  <c r="O564" i="1"/>
  <c r="P564" i="1"/>
  <c r="M564" i="1"/>
  <c r="V564" i="1" s="1"/>
  <c r="M546" i="1"/>
  <c r="V546" i="1" s="1"/>
  <c r="N546" i="1"/>
  <c r="O546" i="1"/>
  <c r="P546" i="1"/>
  <c r="M511" i="1"/>
  <c r="V511" i="1" s="1"/>
  <c r="N511" i="1"/>
  <c r="M506" i="1"/>
  <c r="N506" i="1"/>
  <c r="O506" i="1"/>
  <c r="O430" i="1"/>
  <c r="P430" i="1"/>
  <c r="M378" i="1"/>
  <c r="N378" i="1"/>
  <c r="O378" i="1"/>
  <c r="P378" i="1"/>
  <c r="M319" i="1"/>
  <c r="N319" i="1"/>
  <c r="M598" i="1"/>
  <c r="N589" i="1"/>
  <c r="P579" i="1"/>
  <c r="M576" i="1"/>
  <c r="P571" i="1"/>
  <c r="P570" i="1"/>
  <c r="M566" i="1"/>
  <c r="N565" i="1"/>
  <c r="M519" i="1"/>
  <c r="V519" i="1" s="1"/>
  <c r="M515" i="1"/>
  <c r="N510" i="1"/>
  <c r="P504" i="1"/>
  <c r="M503" i="1"/>
  <c r="V503" i="1" s="1"/>
  <c r="M502" i="1"/>
  <c r="N501" i="1"/>
  <c r="P498" i="1"/>
  <c r="M495" i="1"/>
  <c r="V495" i="1" s="1"/>
  <c r="P491" i="1"/>
  <c r="N488" i="1"/>
  <c r="P472" i="1"/>
  <c r="O451" i="1"/>
  <c r="M447" i="1"/>
  <c r="M441" i="1"/>
  <c r="M431" i="1"/>
  <c r="N424" i="1"/>
  <c r="N415" i="1"/>
  <c r="P398" i="1"/>
  <c r="M355" i="1"/>
  <c r="M342" i="1"/>
  <c r="P310" i="1"/>
  <c r="O302" i="1"/>
  <c r="P302" i="1"/>
  <c r="P614" i="1"/>
  <c r="N615" i="1"/>
  <c r="O598" i="1"/>
  <c r="M596" i="1"/>
  <c r="P557" i="1"/>
  <c r="P548" i="1"/>
  <c r="M542" i="1"/>
  <c r="M540" i="1"/>
  <c r="M510" i="1"/>
  <c r="P505" i="1"/>
  <c r="M501" i="1"/>
  <c r="P495" i="1"/>
  <c r="M488" i="1"/>
  <c r="N461" i="1"/>
  <c r="N451" i="1"/>
  <c r="M435" i="1"/>
  <c r="N432" i="1"/>
  <c r="M424" i="1"/>
  <c r="M415" i="1"/>
  <c r="M310" i="1"/>
  <c r="P273" i="1"/>
  <c r="N273" i="1"/>
  <c r="O273" i="1"/>
  <c r="M271" i="1"/>
  <c r="N271" i="1"/>
  <c r="M599" i="1"/>
  <c r="M590" i="1"/>
  <c r="N585" i="1"/>
  <c r="N581" i="1"/>
  <c r="N572" i="1"/>
  <c r="M486" i="1"/>
  <c r="M478" i="1"/>
  <c r="O452" i="1"/>
  <c r="M451" i="1"/>
  <c r="N416" i="1"/>
  <c r="P351" i="1"/>
  <c r="M335" i="1"/>
  <c r="P327" i="1"/>
  <c r="M317" i="1"/>
  <c r="N250" i="1"/>
  <c r="O250" i="1"/>
  <c r="P250" i="1"/>
  <c r="M222" i="1"/>
  <c r="N222" i="1"/>
  <c r="N206" i="1"/>
  <c r="M206" i="1"/>
  <c r="N611" i="1"/>
  <c r="N607" i="1"/>
  <c r="O535" i="1"/>
  <c r="O511" i="1"/>
  <c r="M455" i="1"/>
  <c r="M356" i="1"/>
  <c r="M295" i="1"/>
  <c r="M278" i="1"/>
  <c r="N256" i="1"/>
  <c r="M256" i="1"/>
  <c r="N235" i="1"/>
  <c r="O235" i="1"/>
  <c r="P235" i="1"/>
  <c r="M40" i="1"/>
  <c r="N40" i="1"/>
  <c r="M616" i="1"/>
  <c r="N612" i="1"/>
  <c r="O594" i="1"/>
  <c r="M586" i="1"/>
  <c r="M567" i="1"/>
  <c r="M561" i="1"/>
  <c r="P549" i="1"/>
  <c r="N538" i="1"/>
  <c r="O525" i="1"/>
  <c r="N523" i="1"/>
  <c r="M516" i="1"/>
  <c r="P506" i="1"/>
  <c r="N473" i="1"/>
  <c r="M470" i="1"/>
  <c r="N465" i="1"/>
  <c r="M462" i="1"/>
  <c r="M436" i="1"/>
  <c r="N397" i="1"/>
  <c r="P375" i="1"/>
  <c r="N346" i="1"/>
  <c r="P323" i="1"/>
  <c r="P315" i="1"/>
  <c r="O307" i="1"/>
  <c r="M306" i="1"/>
  <c r="P299" i="1"/>
  <c r="N608" i="1"/>
  <c r="M595" i="1"/>
  <c r="O570" i="1"/>
  <c r="P524" i="1"/>
  <c r="P512" i="1"/>
  <c r="P507" i="1"/>
  <c r="P502" i="1"/>
  <c r="M490" i="1"/>
  <c r="P441" i="1"/>
  <c r="M420" i="1"/>
  <c r="N393" i="1"/>
  <c r="M352" i="1"/>
  <c r="P347" i="1"/>
  <c r="O306" i="1"/>
  <c r="P306" i="1"/>
  <c r="N299" i="1"/>
  <c r="O299" i="1"/>
  <c r="N278" i="1"/>
  <c r="O278" i="1"/>
  <c r="P278" i="1"/>
  <c r="N266" i="1"/>
  <c r="O266" i="1"/>
  <c r="P266" i="1"/>
  <c r="M247" i="1"/>
  <c r="N247" i="1"/>
  <c r="O247" i="1"/>
  <c r="P247" i="1"/>
  <c r="N237" i="1"/>
  <c r="O237" i="1"/>
  <c r="M600" i="1"/>
  <c r="N570" i="1"/>
  <c r="M539" i="1"/>
  <c r="O502" i="1"/>
  <c r="P501" i="1"/>
  <c r="O495" i="1"/>
  <c r="P488" i="1"/>
  <c r="O441" i="1"/>
  <c r="O431" i="1"/>
  <c r="P424" i="1"/>
  <c r="N412" i="1"/>
  <c r="M359" i="1"/>
  <c r="O343" i="1"/>
  <c r="P342" i="1"/>
  <c r="M328" i="1"/>
  <c r="N302" i="1"/>
  <c r="O272" i="1"/>
  <c r="P272" i="1"/>
  <c r="P610" i="1"/>
  <c r="O510" i="1"/>
  <c r="M474" i="1"/>
  <c r="M454" i="1"/>
  <c r="N431" i="1"/>
  <c r="O426" i="1"/>
  <c r="O415" i="1"/>
  <c r="N391" i="1"/>
  <c r="M305" i="1"/>
  <c r="M273" i="1"/>
  <c r="N251" i="1"/>
  <c r="O251" i="1"/>
  <c r="O227" i="1"/>
  <c r="P227" i="1"/>
  <c r="M73" i="1"/>
  <c r="X73" i="1" s="1"/>
  <c r="N33" i="1"/>
  <c r="X33" i="1" s="1"/>
  <c r="M31" i="1"/>
  <c r="X31" i="1" s="1"/>
  <c r="N17" i="1"/>
  <c r="X17" i="1" s="1"/>
  <c r="M15" i="1"/>
  <c r="M252" i="1"/>
  <c r="M238" i="1"/>
  <c r="P216" i="1"/>
  <c r="P212" i="1"/>
  <c r="M204" i="1"/>
  <c r="X204" i="1" s="1"/>
  <c r="M200" i="1"/>
  <c r="X200" i="1" s="1"/>
  <c r="M196" i="1"/>
  <c r="X196" i="1" s="1"/>
  <c r="M192" i="1"/>
  <c r="X192" i="1" s="1"/>
  <c r="M188" i="1"/>
  <c r="X188" i="1" s="1"/>
  <c r="M184" i="1"/>
  <c r="X184" i="1" s="1"/>
  <c r="M180" i="1"/>
  <c r="M176" i="1"/>
  <c r="X176" i="1" s="1"/>
  <c r="M172" i="1"/>
  <c r="M168" i="1"/>
  <c r="X168" i="1" s="1"/>
  <c r="M164" i="1"/>
  <c r="X164" i="1" s="1"/>
  <c r="M162" i="1"/>
  <c r="N153" i="1"/>
  <c r="X153" i="1" s="1"/>
  <c r="N145" i="1"/>
  <c r="X145" i="1" s="1"/>
  <c r="N137" i="1"/>
  <c r="X137" i="1" s="1"/>
  <c r="N124" i="1"/>
  <c r="N118" i="1"/>
  <c r="N114" i="1"/>
  <c r="X114" i="1" s="1"/>
  <c r="N98" i="1"/>
  <c r="N94" i="1"/>
  <c r="X94" i="1" s="1"/>
  <c r="M90" i="1"/>
  <c r="M86" i="1"/>
  <c r="X86" i="1" s="1"/>
  <c r="M54" i="1"/>
  <c r="N52" i="1"/>
  <c r="X52" i="1" s="1"/>
  <c r="M43" i="1"/>
  <c r="M26" i="1"/>
  <c r="N7" i="1"/>
  <c r="M231" i="1"/>
  <c r="N229" i="1"/>
  <c r="N201" i="1"/>
  <c r="M197" i="1"/>
  <c r="M193" i="1"/>
  <c r="M189" i="1"/>
  <c r="M185" i="1"/>
  <c r="X185" i="1" s="1"/>
  <c r="M181" i="1"/>
  <c r="X181" i="1" s="1"/>
  <c r="M177" i="1"/>
  <c r="M173" i="1"/>
  <c r="N169" i="1"/>
  <c r="M165" i="1"/>
  <c r="N83" i="1"/>
  <c r="M81" i="1"/>
  <c r="X81" i="1" s="1"/>
  <c r="M11" i="1"/>
  <c r="X11" i="1" s="1"/>
  <c r="M262" i="1"/>
  <c r="P236" i="1"/>
  <c r="M235" i="1"/>
  <c r="X235" i="1" s="1"/>
  <c r="M115" i="1"/>
  <c r="N111" i="1"/>
  <c r="N103" i="1"/>
  <c r="N60" i="1"/>
  <c r="N42" i="1"/>
  <c r="X42" i="1" s="1"/>
  <c r="N25" i="1"/>
  <c r="X25" i="1" s="1"/>
  <c r="M23" i="1"/>
  <c r="M338" i="1"/>
  <c r="M326" i="1"/>
  <c r="P319" i="1"/>
  <c r="M318" i="1"/>
  <c r="N311" i="1"/>
  <c r="M286" i="1"/>
  <c r="N283" i="1"/>
  <c r="P282" i="1"/>
  <c r="P270" i="1"/>
  <c r="N258" i="1"/>
  <c r="N236" i="1"/>
  <c r="P232" i="1"/>
  <c r="M215" i="1"/>
  <c r="M211" i="1"/>
  <c r="M202" i="1"/>
  <c r="X202" i="1" s="1"/>
  <c r="M198" i="1"/>
  <c r="X198" i="1" s="1"/>
  <c r="M194" i="1"/>
  <c r="X194" i="1" s="1"/>
  <c r="M190" i="1"/>
  <c r="M186" i="1"/>
  <c r="M182" i="1"/>
  <c r="X182" i="1" s="1"/>
  <c r="M178" i="1"/>
  <c r="M174" i="1"/>
  <c r="M170" i="1"/>
  <c r="X170" i="1" s="1"/>
  <c r="M166" i="1"/>
  <c r="X166" i="1" s="1"/>
  <c r="M123" i="1"/>
  <c r="N119" i="1"/>
  <c r="N95" i="1"/>
  <c r="M89" i="1"/>
  <c r="X89" i="1" s="1"/>
  <c r="N66" i="1"/>
  <c r="M64" i="1"/>
  <c r="X64" i="1" s="1"/>
  <c r="M53" i="1"/>
  <c r="X53" i="1" s="1"/>
  <c r="P248" i="1"/>
  <c r="O233" i="1"/>
  <c r="N232" i="1"/>
  <c r="N127" i="1"/>
  <c r="N48" i="1"/>
  <c r="X48" i="1" s="1"/>
  <c r="M46" i="1"/>
  <c r="M37" i="1"/>
  <c r="M20" i="1"/>
  <c r="X20" i="1" s="1"/>
  <c r="M302" i="1"/>
  <c r="M300" i="1"/>
  <c r="N297" i="1"/>
  <c r="P251" i="1"/>
  <c r="M250" i="1"/>
  <c r="N203" i="1"/>
  <c r="M199" i="1"/>
  <c r="M195" i="1"/>
  <c r="X195" i="1" s="1"/>
  <c r="M191" i="1"/>
  <c r="M187" i="1"/>
  <c r="X187" i="1" s="1"/>
  <c r="M183" i="1"/>
  <c r="M179" i="1"/>
  <c r="X179" i="1" s="1"/>
  <c r="M175" i="1"/>
  <c r="X175" i="1" s="1"/>
  <c r="M171" i="1"/>
  <c r="M167" i="1"/>
  <c r="N108" i="1"/>
  <c r="M82" i="1"/>
  <c r="N68" i="1"/>
  <c r="M61" i="1"/>
  <c r="X61" i="1" s="1"/>
  <c r="N50" i="1"/>
  <c r="N10" i="1"/>
  <c r="X10" i="1" s="1"/>
  <c r="M604" i="1"/>
  <c r="N604" i="1"/>
  <c r="M547" i="1"/>
  <c r="P547" i="1"/>
  <c r="M593" i="1"/>
  <c r="N593" i="1"/>
  <c r="O593" i="1"/>
  <c r="P593" i="1"/>
  <c r="M583" i="1"/>
  <c r="N583" i="1"/>
  <c r="O583" i="1"/>
  <c r="P583" i="1"/>
  <c r="M555" i="1"/>
  <c r="N555" i="1"/>
  <c r="M592" i="1"/>
  <c r="N592" i="1"/>
  <c r="O592" i="1"/>
  <c r="P592" i="1"/>
  <c r="M574" i="1"/>
  <c r="N574" i="1"/>
  <c r="P574" i="1"/>
  <c r="N569" i="1"/>
  <c r="O569" i="1"/>
  <c r="P569" i="1"/>
  <c r="V557" i="1"/>
  <c r="M533" i="1"/>
  <c r="N533" i="1"/>
  <c r="V521" i="1"/>
  <c r="M514" i="1"/>
  <c r="O514" i="1"/>
  <c r="P514" i="1"/>
  <c r="N514" i="1"/>
  <c r="N609" i="1"/>
  <c r="O609" i="1"/>
  <c r="P609" i="1"/>
  <c r="M577" i="1"/>
  <c r="O577" i="1"/>
  <c r="P577" i="1"/>
  <c r="M563" i="1"/>
  <c r="N563" i="1"/>
  <c r="O563" i="1"/>
  <c r="P563" i="1"/>
  <c r="N610" i="1"/>
  <c r="O610" i="1"/>
  <c r="M597" i="1"/>
  <c r="N597" i="1"/>
  <c r="O597" i="1"/>
  <c r="P597" i="1"/>
  <c r="M591" i="1"/>
  <c r="M588" i="1"/>
  <c r="N588" i="1"/>
  <c r="O588" i="1"/>
  <c r="P584" i="1"/>
  <c r="M558" i="1"/>
  <c r="N558" i="1"/>
  <c r="P558" i="1"/>
  <c r="N613" i="1"/>
  <c r="O613" i="1"/>
  <c r="P613" i="1"/>
  <c r="M606" i="1"/>
  <c r="N606" i="1"/>
  <c r="O606" i="1"/>
  <c r="P602" i="1"/>
  <c r="N591" i="1"/>
  <c r="O591" i="1"/>
  <c r="P591" i="1"/>
  <c r="V576" i="1"/>
  <c r="O556" i="1"/>
  <c r="P556" i="1"/>
  <c r="V515" i="1"/>
  <c r="M587" i="1"/>
  <c r="N587" i="1"/>
  <c r="O587" i="1"/>
  <c r="P587" i="1"/>
  <c r="N605" i="1"/>
  <c r="O605" i="1"/>
  <c r="P605" i="1"/>
  <c r="M601" i="1"/>
  <c r="N601" i="1"/>
  <c r="O601" i="1"/>
  <c r="P601" i="1"/>
  <c r="M609" i="1"/>
  <c r="M602" i="1"/>
  <c r="N602" i="1"/>
  <c r="O602" i="1"/>
  <c r="M584" i="1"/>
  <c r="N584" i="1"/>
  <c r="O584" i="1"/>
  <c r="V568" i="1"/>
  <c r="V542" i="1"/>
  <c r="M537" i="1"/>
  <c r="N537" i="1"/>
  <c r="O537" i="1"/>
  <c r="P537" i="1"/>
  <c r="M534" i="1"/>
  <c r="N534" i="1"/>
  <c r="O534" i="1"/>
  <c r="P534" i="1"/>
  <c r="M531" i="1"/>
  <c r="N531" i="1"/>
  <c r="O531" i="1"/>
  <c r="P531" i="1"/>
  <c r="O522" i="1"/>
  <c r="P522" i="1"/>
  <c r="M550" i="1"/>
  <c r="N550" i="1"/>
  <c r="M518" i="1"/>
  <c r="N518" i="1"/>
  <c r="O517" i="1"/>
  <c r="P517" i="1"/>
  <c r="M499" i="1"/>
  <c r="N499" i="1"/>
  <c r="O499" i="1"/>
  <c r="P499" i="1"/>
  <c r="M494" i="1"/>
  <c r="N494" i="1"/>
  <c r="N485" i="1"/>
  <c r="O485" i="1"/>
  <c r="P485" i="1"/>
  <c r="M471" i="1"/>
  <c r="N471" i="1"/>
  <c r="O471" i="1"/>
  <c r="P471" i="1"/>
  <c r="M463" i="1"/>
  <c r="N463" i="1"/>
  <c r="O463" i="1"/>
  <c r="P463" i="1"/>
  <c r="O458" i="1"/>
  <c r="P458" i="1"/>
  <c r="M449" i="1"/>
  <c r="N449" i="1"/>
  <c r="P449" i="1"/>
  <c r="N614" i="1"/>
  <c r="O536" i="1"/>
  <c r="P536" i="1"/>
  <c r="O530" i="1"/>
  <c r="P530" i="1"/>
  <c r="N513" i="1"/>
  <c r="O513" i="1"/>
  <c r="M614" i="1"/>
  <c r="M610" i="1"/>
  <c r="P600" i="1"/>
  <c r="P596" i="1"/>
  <c r="P573" i="1"/>
  <c r="M529" i="1"/>
  <c r="M528" i="1"/>
  <c r="N528" i="1"/>
  <c r="O527" i="1"/>
  <c r="P527" i="1"/>
  <c r="N508" i="1"/>
  <c r="O508" i="1"/>
  <c r="P608" i="1"/>
  <c r="P604" i="1"/>
  <c r="O600" i="1"/>
  <c r="O596" i="1"/>
  <c r="P590" i="1"/>
  <c r="P586" i="1"/>
  <c r="P582" i="1"/>
  <c r="P576" i="1"/>
  <c r="O573" i="1"/>
  <c r="O568" i="1"/>
  <c r="P562" i="1"/>
  <c r="P554" i="1"/>
  <c r="P545" i="1"/>
  <c r="M525" i="1"/>
  <c r="N525" i="1"/>
  <c r="O521" i="1"/>
  <c r="M475" i="1"/>
  <c r="N475" i="1"/>
  <c r="O475" i="1"/>
  <c r="P475" i="1"/>
  <c r="M457" i="1"/>
  <c r="N457" i="1"/>
  <c r="P457" i="1"/>
  <c r="M427" i="1"/>
  <c r="N427" i="1"/>
  <c r="O427" i="1"/>
  <c r="P427" i="1"/>
  <c r="O616" i="1"/>
  <c r="O612" i="1"/>
  <c r="O608" i="1"/>
  <c r="O604" i="1"/>
  <c r="P599" i="1"/>
  <c r="P595" i="1"/>
  <c r="O574" i="1"/>
  <c r="N573" i="1"/>
  <c r="M569" i="1"/>
  <c r="N568" i="1"/>
  <c r="P567" i="1"/>
  <c r="O562" i="1"/>
  <c r="O558" i="1"/>
  <c r="P553" i="1"/>
  <c r="N547" i="1"/>
  <c r="O547" i="1"/>
  <c r="O545" i="1"/>
  <c r="P544" i="1"/>
  <c r="N543" i="1"/>
  <c r="P542" i="1"/>
  <c r="P541" i="1"/>
  <c r="N521" i="1"/>
  <c r="P515" i="1"/>
  <c r="M504" i="1"/>
  <c r="N504" i="1"/>
  <c r="O503" i="1"/>
  <c r="P503" i="1"/>
  <c r="M500" i="1"/>
  <c r="N500" i="1"/>
  <c r="M467" i="1"/>
  <c r="N467" i="1"/>
  <c r="O467" i="1"/>
  <c r="P467" i="1"/>
  <c r="N616" i="1"/>
  <c r="P615" i="1"/>
  <c r="P611" i="1"/>
  <c r="P607" i="1"/>
  <c r="P603" i="1"/>
  <c r="O599" i="1"/>
  <c r="O595" i="1"/>
  <c r="N590" i="1"/>
  <c r="P589" i="1"/>
  <c r="N586" i="1"/>
  <c r="P585" i="1"/>
  <c r="N582" i="1"/>
  <c r="O581" i="1"/>
  <c r="N577" i="1"/>
  <c r="N576" i="1"/>
  <c r="O572" i="1"/>
  <c r="O567" i="1"/>
  <c r="P566" i="1"/>
  <c r="N561" i="1"/>
  <c r="P560" i="1"/>
  <c r="M556" i="1"/>
  <c r="N556" i="1"/>
  <c r="O555" i="1"/>
  <c r="P555" i="1"/>
  <c r="N554" i="1"/>
  <c r="N552" i="1"/>
  <c r="P551" i="1"/>
  <c r="N545" i="1"/>
  <c r="O542" i="1"/>
  <c r="O541" i="1"/>
  <c r="P540" i="1"/>
  <c r="N539" i="1"/>
  <c r="P538" i="1"/>
  <c r="O533" i="1"/>
  <c r="P533" i="1"/>
  <c r="M522" i="1"/>
  <c r="N522" i="1"/>
  <c r="P519" i="1"/>
  <c r="N516" i="1"/>
  <c r="O515" i="1"/>
  <c r="O498" i="1"/>
  <c r="P494" i="1"/>
  <c r="N493" i="1"/>
  <c r="O493" i="1"/>
  <c r="P493" i="1"/>
  <c r="M479" i="1"/>
  <c r="N479" i="1"/>
  <c r="O479" i="1"/>
  <c r="P479" i="1"/>
  <c r="N477" i="1"/>
  <c r="O450" i="1"/>
  <c r="P450" i="1"/>
  <c r="O443" i="1"/>
  <c r="P443" i="1"/>
  <c r="P414" i="1"/>
  <c r="O414" i="1"/>
  <c r="O615" i="1"/>
  <c r="O611" i="1"/>
  <c r="O607" i="1"/>
  <c r="X607" i="1" s="1"/>
  <c r="O603" i="1"/>
  <c r="X603" i="1" s="1"/>
  <c r="N599" i="1"/>
  <c r="P598" i="1"/>
  <c r="X598" i="1" s="1"/>
  <c r="N595" i="1"/>
  <c r="P594" i="1"/>
  <c r="O589" i="1"/>
  <c r="O585" i="1"/>
  <c r="O579" i="1"/>
  <c r="P575" i="1"/>
  <c r="O571" i="1"/>
  <c r="P568" i="1"/>
  <c r="N567" i="1"/>
  <c r="O566" i="1"/>
  <c r="M562" i="1"/>
  <c r="O560" i="1"/>
  <c r="P559" i="1"/>
  <c r="M553" i="1"/>
  <c r="N553" i="1"/>
  <c r="O551" i="1"/>
  <c r="P550" i="1"/>
  <c r="O549" i="1"/>
  <c r="M544" i="1"/>
  <c r="N544" i="1"/>
  <c r="O543" i="1"/>
  <c r="P543" i="1"/>
  <c r="N542" i="1"/>
  <c r="N541" i="1"/>
  <c r="O538" i="1"/>
  <c r="P535" i="1"/>
  <c r="P521" i="1"/>
  <c r="O519" i="1"/>
  <c r="P518" i="1"/>
  <c r="N517" i="1"/>
  <c r="N515" i="1"/>
  <c r="O512" i="1"/>
  <c r="P511" i="1"/>
  <c r="N498" i="1"/>
  <c r="P497" i="1"/>
  <c r="M496" i="1"/>
  <c r="N496" i="1"/>
  <c r="O496" i="1"/>
  <c r="P496" i="1"/>
  <c r="O494" i="1"/>
  <c r="M491" i="1"/>
  <c r="N491" i="1"/>
  <c r="N469" i="1"/>
  <c r="M466" i="1"/>
  <c r="M581" i="1"/>
  <c r="N579" i="1"/>
  <c r="M572" i="1"/>
  <c r="N571" i="1"/>
  <c r="P565" i="1"/>
  <c r="O561" i="1"/>
  <c r="P552" i="1"/>
  <c r="O550" i="1"/>
  <c r="N549" i="1"/>
  <c r="N540" i="1"/>
  <c r="O540" i="1"/>
  <c r="P539" i="1"/>
  <c r="N536" i="1"/>
  <c r="N530" i="1"/>
  <c r="O518" i="1"/>
  <c r="M517" i="1"/>
  <c r="P516" i="1"/>
  <c r="P513" i="1"/>
  <c r="N512" i="1"/>
  <c r="P509" i="1"/>
  <c r="M498" i="1"/>
  <c r="N489" i="1"/>
  <c r="O489" i="1"/>
  <c r="P489" i="1"/>
  <c r="M487" i="1"/>
  <c r="N487" i="1"/>
  <c r="M485" i="1"/>
  <c r="M483" i="1"/>
  <c r="N483" i="1"/>
  <c r="O483" i="1"/>
  <c r="N481" i="1"/>
  <c r="O481" i="1"/>
  <c r="P481" i="1"/>
  <c r="N458" i="1"/>
  <c r="M442" i="1"/>
  <c r="O410" i="1"/>
  <c r="P410" i="1"/>
  <c r="M434" i="1"/>
  <c r="N434" i="1"/>
  <c r="O433" i="1"/>
  <c r="P433" i="1"/>
  <c r="M418" i="1"/>
  <c r="N418" i="1"/>
  <c r="O417" i="1"/>
  <c r="P417" i="1"/>
  <c r="P408" i="1"/>
  <c r="N408" i="1"/>
  <c r="O408" i="1"/>
  <c r="P404" i="1"/>
  <c r="N404" i="1"/>
  <c r="O404" i="1"/>
  <c r="P400" i="1"/>
  <c r="N400" i="1"/>
  <c r="O400" i="1"/>
  <c r="P396" i="1"/>
  <c r="N396" i="1"/>
  <c r="O396" i="1"/>
  <c r="M364" i="1"/>
  <c r="N364" i="1"/>
  <c r="P364" i="1"/>
  <c r="M288" i="1"/>
  <c r="N288" i="1"/>
  <c r="P288" i="1"/>
  <c r="P460" i="1"/>
  <c r="O453" i="1"/>
  <c r="O445" i="1"/>
  <c r="M414" i="1"/>
  <c r="P384" i="1"/>
  <c r="M384" i="1"/>
  <c r="N384" i="1"/>
  <c r="O384" i="1"/>
  <c r="P382" i="1"/>
  <c r="N353" i="1"/>
  <c r="O353" i="1"/>
  <c r="P353" i="1"/>
  <c r="P456" i="1"/>
  <c r="P448" i="1"/>
  <c r="M430" i="1"/>
  <c r="N430" i="1"/>
  <c r="O429" i="1"/>
  <c r="P429" i="1"/>
  <c r="M382" i="1"/>
  <c r="P380" i="1"/>
  <c r="M380" i="1"/>
  <c r="N380" i="1"/>
  <c r="O380" i="1"/>
  <c r="O373" i="1"/>
  <c r="M344" i="1"/>
  <c r="P344" i="1"/>
  <c r="N341" i="1"/>
  <c r="O341" i="1"/>
  <c r="P341" i="1"/>
  <c r="N333" i="1"/>
  <c r="O333" i="1"/>
  <c r="P333" i="1"/>
  <c r="P490" i="1"/>
  <c r="P486" i="1"/>
  <c r="P482" i="1"/>
  <c r="P478" i="1"/>
  <c r="P474" i="1"/>
  <c r="P470" i="1"/>
  <c r="P466" i="1"/>
  <c r="P462" i="1"/>
  <c r="O456" i="1"/>
  <c r="O448" i="1"/>
  <c r="P439" i="1"/>
  <c r="P423" i="1"/>
  <c r="P411" i="1"/>
  <c r="N337" i="1"/>
  <c r="O337" i="1"/>
  <c r="P337" i="1"/>
  <c r="O490" i="1"/>
  <c r="O486" i="1"/>
  <c r="O482" i="1"/>
  <c r="O478" i="1"/>
  <c r="M458" i="1"/>
  <c r="N456" i="1"/>
  <c r="P455" i="1"/>
  <c r="M450" i="1"/>
  <c r="N448" i="1"/>
  <c r="P447" i="1"/>
  <c r="M443" i="1"/>
  <c r="O442" i="1"/>
  <c r="P442" i="1"/>
  <c r="O439" i="1"/>
  <c r="P438" i="1"/>
  <c r="N437" i="1"/>
  <c r="M426" i="1"/>
  <c r="N426" i="1"/>
  <c r="O425" i="1"/>
  <c r="P425" i="1"/>
  <c r="O423" i="1"/>
  <c r="P422" i="1"/>
  <c r="N421" i="1"/>
  <c r="O411" i="1"/>
  <c r="P406" i="1"/>
  <c r="P402" i="1"/>
  <c r="P388" i="1"/>
  <c r="M388" i="1"/>
  <c r="N388" i="1"/>
  <c r="O388" i="1"/>
  <c r="O387" i="1"/>
  <c r="P387" i="1"/>
  <c r="N490" i="1"/>
  <c r="N486" i="1"/>
  <c r="N482" i="1"/>
  <c r="N478" i="1"/>
  <c r="P477" i="1"/>
  <c r="N474" i="1"/>
  <c r="P473" i="1"/>
  <c r="N470" i="1"/>
  <c r="P469" i="1"/>
  <c r="N466" i="1"/>
  <c r="P465" i="1"/>
  <c r="N462" i="1"/>
  <c r="P461" i="1"/>
  <c r="O457" i="1"/>
  <c r="O455" i="1"/>
  <c r="P454" i="1"/>
  <c r="O449" i="1"/>
  <c r="O447" i="1"/>
  <c r="P446" i="1"/>
  <c r="N439" i="1"/>
  <c r="N436" i="1"/>
  <c r="P435" i="1"/>
  <c r="P432" i="1"/>
  <c r="N423" i="1"/>
  <c r="N420" i="1"/>
  <c r="P419" i="1"/>
  <c r="P416" i="1"/>
  <c r="N411" i="1"/>
  <c r="M410" i="1"/>
  <c r="O407" i="1"/>
  <c r="O403" i="1"/>
  <c r="O399" i="1"/>
  <c r="O395" i="1"/>
  <c r="N381" i="1"/>
  <c r="M377" i="1"/>
  <c r="N349" i="1"/>
  <c r="O349" i="1"/>
  <c r="P349" i="1"/>
  <c r="M340" i="1"/>
  <c r="P340" i="1"/>
  <c r="M336" i="1"/>
  <c r="N321" i="1"/>
  <c r="O321" i="1"/>
  <c r="P321" i="1"/>
  <c r="O477" i="1"/>
  <c r="O473" i="1"/>
  <c r="O469" i="1"/>
  <c r="O465" i="1"/>
  <c r="O461" i="1"/>
  <c r="O460" i="1"/>
  <c r="N455" i="1"/>
  <c r="O454" i="1"/>
  <c r="P453" i="1"/>
  <c r="P452" i="1"/>
  <c r="N447" i="1"/>
  <c r="O446" i="1"/>
  <c r="P445" i="1"/>
  <c r="M438" i="1"/>
  <c r="N438" i="1"/>
  <c r="O437" i="1"/>
  <c r="P437" i="1"/>
  <c r="O435" i="1"/>
  <c r="P434" i="1"/>
  <c r="N433" i="1"/>
  <c r="O432" i="1"/>
  <c r="M422" i="1"/>
  <c r="N422" i="1"/>
  <c r="O421" i="1"/>
  <c r="P421" i="1"/>
  <c r="O419" i="1"/>
  <c r="P418" i="1"/>
  <c r="N417" i="1"/>
  <c r="O416" i="1"/>
  <c r="P412" i="1"/>
  <c r="O412" i="1"/>
  <c r="N407" i="1"/>
  <c r="M406" i="1"/>
  <c r="N403" i="1"/>
  <c r="M402" i="1"/>
  <c r="N399" i="1"/>
  <c r="M398" i="1"/>
  <c r="N395" i="1"/>
  <c r="M394" i="1"/>
  <c r="P386" i="1"/>
  <c r="M372" i="1"/>
  <c r="N372" i="1"/>
  <c r="P372" i="1"/>
  <c r="M461" i="1"/>
  <c r="N460" i="1"/>
  <c r="N454" i="1"/>
  <c r="N453" i="1"/>
  <c r="N446" i="1"/>
  <c r="N445" i="1"/>
  <c r="O434" i="1"/>
  <c r="M433" i="1"/>
  <c r="O418" i="1"/>
  <c r="M417" i="1"/>
  <c r="N413" i="1"/>
  <c r="O413" i="1"/>
  <c r="P413" i="1"/>
  <c r="M413" i="1"/>
  <c r="M408" i="1"/>
  <c r="M407" i="1"/>
  <c r="M404" i="1"/>
  <c r="M403" i="1"/>
  <c r="M400" i="1"/>
  <c r="M399" i="1"/>
  <c r="M396" i="1"/>
  <c r="M395" i="1"/>
  <c r="P392" i="1"/>
  <c r="M392" i="1"/>
  <c r="N392" i="1"/>
  <c r="O392" i="1"/>
  <c r="O391" i="1"/>
  <c r="P391" i="1"/>
  <c r="N389" i="1"/>
  <c r="M383" i="1"/>
  <c r="O383" i="1"/>
  <c r="P383" i="1"/>
  <c r="N374" i="1"/>
  <c r="M370" i="1"/>
  <c r="P348" i="1"/>
  <c r="N345" i="1"/>
  <c r="O345" i="1"/>
  <c r="P345" i="1"/>
  <c r="M409" i="1"/>
  <c r="M405" i="1"/>
  <c r="M401" i="1"/>
  <c r="M397" i="1"/>
  <c r="M393" i="1"/>
  <c r="N375" i="1"/>
  <c r="P374" i="1"/>
  <c r="M369" i="1"/>
  <c r="N367" i="1"/>
  <c r="P366" i="1"/>
  <c r="M361" i="1"/>
  <c r="O358" i="1"/>
  <c r="O357" i="1"/>
  <c r="P356" i="1"/>
  <c r="N355" i="1"/>
  <c r="P354" i="1"/>
  <c r="O351" i="1"/>
  <c r="M333" i="1"/>
  <c r="N332" i="1"/>
  <c r="O332" i="1"/>
  <c r="P331" i="1"/>
  <c r="N330" i="1"/>
  <c r="N329" i="1"/>
  <c r="P328" i="1"/>
  <c r="N327" i="1"/>
  <c r="P326" i="1"/>
  <c r="N325" i="1"/>
  <c r="N324" i="1"/>
  <c r="O324" i="1"/>
  <c r="N322" i="1"/>
  <c r="N316" i="1"/>
  <c r="O316" i="1"/>
  <c r="P316" i="1"/>
  <c r="N314" i="1"/>
  <c r="N313" i="1"/>
  <c r="O313" i="1"/>
  <c r="M292" i="1"/>
  <c r="M281" i="1"/>
  <c r="N281" i="1"/>
  <c r="O281" i="1"/>
  <c r="M279" i="1"/>
  <c r="N279" i="1"/>
  <c r="P279" i="1"/>
  <c r="N274" i="1"/>
  <c r="O274" i="1"/>
  <c r="P274" i="1"/>
  <c r="O268" i="1"/>
  <c r="P268" i="1"/>
  <c r="M265" i="1"/>
  <c r="N265" i="1"/>
  <c r="O265" i="1"/>
  <c r="P265" i="1"/>
  <c r="P226" i="1"/>
  <c r="M226" i="1"/>
  <c r="N226" i="1"/>
  <c r="M375" i="1"/>
  <c r="O374" i="1"/>
  <c r="P373" i="1"/>
  <c r="O368" i="1"/>
  <c r="M367" i="1"/>
  <c r="O366" i="1"/>
  <c r="P365" i="1"/>
  <c r="O360" i="1"/>
  <c r="P359" i="1"/>
  <c r="N358" i="1"/>
  <c r="N357" i="1"/>
  <c r="O354" i="1"/>
  <c r="P352" i="1"/>
  <c r="N351" i="1"/>
  <c r="O347" i="1"/>
  <c r="M330" i="1"/>
  <c r="M327" i="1"/>
  <c r="O326" i="1"/>
  <c r="M325" i="1"/>
  <c r="M322" i="1"/>
  <c r="O319" i="1"/>
  <c r="M314" i="1"/>
  <c r="O311" i="1"/>
  <c r="N309" i="1"/>
  <c r="O309" i="1"/>
  <c r="M301" i="1"/>
  <c r="M358" i="1"/>
  <c r="M357" i="1"/>
  <c r="N356" i="1"/>
  <c r="O356" i="1"/>
  <c r="P355" i="1"/>
  <c r="M351" i="1"/>
  <c r="N347" i="1"/>
  <c r="N328" i="1"/>
  <c r="O328" i="1"/>
  <c r="N326" i="1"/>
  <c r="N310" i="1"/>
  <c r="N305" i="1"/>
  <c r="O305" i="1"/>
  <c r="O297" i="1"/>
  <c r="P297" i="1"/>
  <c r="N295" i="1"/>
  <c r="O295" i="1"/>
  <c r="P295" i="1"/>
  <c r="M293" i="1"/>
  <c r="O293" i="1"/>
  <c r="P293" i="1"/>
  <c r="M353" i="1"/>
  <c r="N352" i="1"/>
  <c r="O352" i="1"/>
  <c r="P311" i="1"/>
  <c r="M311" i="1"/>
  <c r="N301" i="1"/>
  <c r="O301" i="1"/>
  <c r="N289" i="1"/>
  <c r="O289" i="1"/>
  <c r="P289" i="1"/>
  <c r="N287" i="1"/>
  <c r="O287" i="1"/>
  <c r="P287" i="1"/>
  <c r="M284" i="1"/>
  <c r="O284" i="1"/>
  <c r="P284" i="1"/>
  <c r="O275" i="1"/>
  <c r="P275" i="1"/>
  <c r="M275" i="1"/>
  <c r="N275" i="1"/>
  <c r="M373" i="1"/>
  <c r="M365" i="1"/>
  <c r="M349" i="1"/>
  <c r="N348" i="1"/>
  <c r="O348" i="1"/>
  <c r="N320" i="1"/>
  <c r="O320" i="1"/>
  <c r="P320" i="1"/>
  <c r="N317" i="1"/>
  <c r="O317" i="1"/>
  <c r="N312" i="1"/>
  <c r="O312" i="1"/>
  <c r="P312" i="1"/>
  <c r="P307" i="1"/>
  <c r="M307" i="1"/>
  <c r="N280" i="1"/>
  <c r="O280" i="1"/>
  <c r="P280" i="1"/>
  <c r="M269" i="1"/>
  <c r="N269" i="1"/>
  <c r="O269" i="1"/>
  <c r="N261" i="1"/>
  <c r="O261" i="1"/>
  <c r="P261" i="1"/>
  <c r="M261" i="1"/>
  <c r="N414" i="1"/>
  <c r="N410" i="1"/>
  <c r="P409" i="1"/>
  <c r="N406" i="1"/>
  <c r="P405" i="1"/>
  <c r="N402" i="1"/>
  <c r="P401" i="1"/>
  <c r="N398" i="1"/>
  <c r="P397" i="1"/>
  <c r="N394" i="1"/>
  <c r="P393" i="1"/>
  <c r="N390" i="1"/>
  <c r="P389" i="1"/>
  <c r="N386" i="1"/>
  <c r="P385" i="1"/>
  <c r="N382" i="1"/>
  <c r="P381" i="1"/>
  <c r="O377" i="1"/>
  <c r="O372" i="1"/>
  <c r="O370" i="1"/>
  <c r="P369" i="1"/>
  <c r="O364" i="1"/>
  <c r="O362" i="1"/>
  <c r="P361" i="1"/>
  <c r="M345" i="1"/>
  <c r="N344" i="1"/>
  <c r="O344" i="1"/>
  <c r="P343" i="1"/>
  <c r="N342" i="1"/>
  <c r="O338" i="1"/>
  <c r="P336" i="1"/>
  <c r="N335" i="1"/>
  <c r="P334" i="1"/>
  <c r="O331" i="1"/>
  <c r="O323" i="1"/>
  <c r="O315" i="1"/>
  <c r="P313" i="1"/>
  <c r="N308" i="1"/>
  <c r="O308" i="1"/>
  <c r="P308" i="1"/>
  <c r="P303" i="1"/>
  <c r="M303" i="1"/>
  <c r="M296" i="1"/>
  <c r="N296" i="1"/>
  <c r="P296" i="1"/>
  <c r="N277" i="1"/>
  <c r="O277" i="1"/>
  <c r="P277" i="1"/>
  <c r="M267" i="1"/>
  <c r="N267" i="1"/>
  <c r="O409" i="1"/>
  <c r="O405" i="1"/>
  <c r="O401" i="1"/>
  <c r="O397" i="1"/>
  <c r="O393" i="1"/>
  <c r="O389" i="1"/>
  <c r="O385" i="1"/>
  <c r="O381" i="1"/>
  <c r="N370" i="1"/>
  <c r="O369" i="1"/>
  <c r="P368" i="1"/>
  <c r="P367" i="1"/>
  <c r="N362" i="1"/>
  <c r="O361" i="1"/>
  <c r="P360" i="1"/>
  <c r="O359" i="1"/>
  <c r="M341" i="1"/>
  <c r="N340" i="1"/>
  <c r="O340" i="1"/>
  <c r="P339" i="1"/>
  <c r="N338" i="1"/>
  <c r="O334" i="1"/>
  <c r="P332" i="1"/>
  <c r="N331" i="1"/>
  <c r="P330" i="1"/>
  <c r="P329" i="1"/>
  <c r="P324" i="1"/>
  <c r="N323" i="1"/>
  <c r="P322" i="1"/>
  <c r="M321" i="1"/>
  <c r="N315" i="1"/>
  <c r="P314" i="1"/>
  <c r="M313" i="1"/>
  <c r="P309" i="1"/>
  <c r="N304" i="1"/>
  <c r="O304" i="1"/>
  <c r="P304" i="1"/>
  <c r="N298" i="1"/>
  <c r="O298" i="1"/>
  <c r="N294" i="1"/>
  <c r="O294" i="1"/>
  <c r="P294" i="1"/>
  <c r="M290" i="1"/>
  <c r="P281" i="1"/>
  <c r="N377" i="1"/>
  <c r="N369" i="1"/>
  <c r="N368" i="1"/>
  <c r="N361" i="1"/>
  <c r="N360" i="1"/>
  <c r="N359" i="1"/>
  <c r="O355" i="1"/>
  <c r="M337" i="1"/>
  <c r="N336" i="1"/>
  <c r="O336" i="1"/>
  <c r="P335" i="1"/>
  <c r="M332" i="1"/>
  <c r="M331" i="1"/>
  <c r="O327" i="1"/>
  <c r="P325" i="1"/>
  <c r="M324" i="1"/>
  <c r="M323" i="1"/>
  <c r="M316" i="1"/>
  <c r="M315" i="1"/>
  <c r="M309" i="1"/>
  <c r="P305" i="1"/>
  <c r="N300" i="1"/>
  <c r="O300" i="1"/>
  <c r="P300" i="1"/>
  <c r="N290" i="1"/>
  <c r="O290" i="1"/>
  <c r="N286" i="1"/>
  <c r="O286" i="1"/>
  <c r="P286" i="1"/>
  <c r="M276" i="1"/>
  <c r="N276" i="1"/>
  <c r="O276" i="1"/>
  <c r="P276" i="1"/>
  <c r="M274" i="1"/>
  <c r="M260" i="1"/>
  <c r="N260" i="1"/>
  <c r="O259" i="1"/>
  <c r="P259" i="1"/>
  <c r="N254" i="1"/>
  <c r="O254" i="1"/>
  <c r="O228" i="1"/>
  <c r="M228" i="1"/>
  <c r="N228" i="1"/>
  <c r="P228" i="1"/>
  <c r="M243" i="1"/>
  <c r="N243" i="1"/>
  <c r="O243" i="1"/>
  <c r="P243" i="1"/>
  <c r="O240" i="1"/>
  <c r="N240" i="1"/>
  <c r="P240" i="1"/>
  <c r="O224" i="1"/>
  <c r="M224" i="1"/>
  <c r="N224" i="1"/>
  <c r="M299" i="1"/>
  <c r="X299" i="1" s="1"/>
  <c r="O292" i="1"/>
  <c r="M291" i="1"/>
  <c r="O283" i="1"/>
  <c r="M282" i="1"/>
  <c r="M272" i="1"/>
  <c r="N272" i="1"/>
  <c r="O271" i="1"/>
  <c r="P271" i="1"/>
  <c r="M270" i="1"/>
  <c r="M257" i="1"/>
  <c r="M246" i="1"/>
  <c r="N246" i="1"/>
  <c r="O246" i="1"/>
  <c r="O231" i="1"/>
  <c r="P231" i="1"/>
  <c r="M241" i="1"/>
  <c r="N241" i="1"/>
  <c r="O241" i="1"/>
  <c r="P241" i="1"/>
  <c r="M268" i="1"/>
  <c r="N268" i="1"/>
  <c r="O267" i="1"/>
  <c r="P267" i="1"/>
  <c r="P264" i="1"/>
  <c r="N263" i="1"/>
  <c r="M251" i="1"/>
  <c r="P249" i="1"/>
  <c r="P233" i="1"/>
  <c r="M233" i="1"/>
  <c r="O232" i="1"/>
  <c r="O223" i="1"/>
  <c r="P223" i="1"/>
  <c r="M220" i="1"/>
  <c r="O220" i="1"/>
  <c r="N220" i="1"/>
  <c r="M297" i="1"/>
  <c r="M289" i="1"/>
  <c r="M280" i="1"/>
  <c r="P258" i="1"/>
  <c r="P255" i="1"/>
  <c r="O252" i="1"/>
  <c r="P252" i="1"/>
  <c r="O244" i="1"/>
  <c r="N244" i="1"/>
  <c r="P244" i="1"/>
  <c r="O296" i="1"/>
  <c r="O288" i="1"/>
  <c r="O279" i="1"/>
  <c r="M264" i="1"/>
  <c r="N264" i="1"/>
  <c r="O263" i="1"/>
  <c r="P263" i="1"/>
  <c r="P260" i="1"/>
  <c r="N259" i="1"/>
  <c r="O258" i="1"/>
  <c r="P256" i="1"/>
  <c r="O255" i="1"/>
  <c r="P254" i="1"/>
  <c r="M253" i="1"/>
  <c r="O253" i="1"/>
  <c r="P253" i="1"/>
  <c r="N234" i="1"/>
  <c r="O234" i="1"/>
  <c r="N230" i="1"/>
  <c r="O230" i="1"/>
  <c r="P230" i="1"/>
  <c r="P292" i="1"/>
  <c r="P283" i="1"/>
  <c r="O260" i="1"/>
  <c r="M259" i="1"/>
  <c r="P257" i="1"/>
  <c r="N255" i="1"/>
  <c r="M254" i="1"/>
  <c r="M249" i="1"/>
  <c r="M245" i="1"/>
  <c r="N245" i="1"/>
  <c r="O245" i="1"/>
  <c r="P245" i="1"/>
  <c r="O242" i="1"/>
  <c r="N242" i="1"/>
  <c r="P242" i="1"/>
  <c r="N239" i="1"/>
  <c r="O239" i="1"/>
  <c r="N231" i="1"/>
  <c r="M227" i="1"/>
  <c r="N227" i="1"/>
  <c r="M219" i="1"/>
  <c r="N219" i="1"/>
  <c r="P219" i="1"/>
  <c r="P220" i="1"/>
  <c r="M159" i="1"/>
  <c r="N151" i="1"/>
  <c r="N143" i="1"/>
  <c r="M212" i="1"/>
  <c r="O212" i="1"/>
  <c r="N156" i="1"/>
  <c r="N148" i="1"/>
  <c r="N140" i="1"/>
  <c r="M135" i="1"/>
  <c r="N135" i="1"/>
  <c r="P213" i="1"/>
  <c r="M213" i="1"/>
  <c r="N213" i="1"/>
  <c r="M221" i="1"/>
  <c r="N221" i="1"/>
  <c r="O256" i="1"/>
  <c r="O248" i="1"/>
  <c r="P238" i="1"/>
  <c r="P237" i="1"/>
  <c r="M237" i="1"/>
  <c r="O229" i="1"/>
  <c r="P225" i="1"/>
  <c r="P218" i="1"/>
  <c r="M218" i="1"/>
  <c r="N218" i="1"/>
  <c r="M216" i="1"/>
  <c r="O216" i="1"/>
  <c r="M208" i="1"/>
  <c r="N208" i="1"/>
  <c r="O208" i="1"/>
  <c r="O236" i="1"/>
  <c r="M223" i="1"/>
  <c r="N223" i="1"/>
  <c r="N160" i="1"/>
  <c r="N152" i="1"/>
  <c r="N144" i="1"/>
  <c r="M239" i="1"/>
  <c r="N238" i="1"/>
  <c r="O238" i="1"/>
  <c r="P229" i="1"/>
  <c r="M229" i="1"/>
  <c r="M225" i="1"/>
  <c r="N225" i="1"/>
  <c r="P224" i="1"/>
  <c r="O222" i="1"/>
  <c r="P222" i="1"/>
  <c r="N214" i="1"/>
  <c r="O214" i="1"/>
  <c r="P214" i="1"/>
  <c r="N212" i="1"/>
  <c r="P209" i="1"/>
  <c r="M207" i="1"/>
  <c r="M157" i="1"/>
  <c r="N149" i="1"/>
  <c r="N141" i="1"/>
  <c r="M136" i="1"/>
  <c r="N136" i="1"/>
  <c r="M59" i="1"/>
  <c r="N59" i="1"/>
  <c r="N209" i="1"/>
  <c r="O163" i="1"/>
  <c r="N133" i="1"/>
  <c r="N129" i="1"/>
  <c r="X129" i="1" s="1"/>
  <c r="M124" i="1"/>
  <c r="N121" i="1"/>
  <c r="X121" i="1" s="1"/>
  <c r="M116" i="1"/>
  <c r="N113" i="1"/>
  <c r="X113" i="1" s="1"/>
  <c r="M108" i="1"/>
  <c r="N105" i="1"/>
  <c r="N97" i="1"/>
  <c r="M87" i="1"/>
  <c r="N87" i="1"/>
  <c r="M55" i="1"/>
  <c r="N55" i="1"/>
  <c r="M29" i="1"/>
  <c r="M12" i="1"/>
  <c r="M209" i="1"/>
  <c r="N163" i="1"/>
  <c r="N162" i="1"/>
  <c r="Q160" i="1"/>
  <c r="R159" i="1"/>
  <c r="N158" i="1"/>
  <c r="N157" i="1"/>
  <c r="M134" i="1"/>
  <c r="M130" i="1"/>
  <c r="M127" i="1"/>
  <c r="M119" i="1"/>
  <c r="M111" i="1"/>
  <c r="N85" i="1"/>
  <c r="X85" i="1" s="1"/>
  <c r="M79" i="1"/>
  <c r="N79" i="1"/>
  <c r="M75" i="1"/>
  <c r="N75" i="1"/>
  <c r="M71" i="1"/>
  <c r="N71" i="1"/>
  <c r="M39" i="1"/>
  <c r="N39" i="1"/>
  <c r="M22" i="1"/>
  <c r="N22" i="1"/>
  <c r="O215" i="1"/>
  <c r="O211" i="1"/>
  <c r="O207" i="1"/>
  <c r="M62" i="1"/>
  <c r="N62" i="1"/>
  <c r="N215" i="1"/>
  <c r="N211" i="1"/>
  <c r="P210" i="1"/>
  <c r="N207" i="1"/>
  <c r="P206" i="1"/>
  <c r="N131" i="1"/>
  <c r="X131" i="1" s="1"/>
  <c r="N125" i="1"/>
  <c r="N117" i="1"/>
  <c r="X117" i="1" s="1"/>
  <c r="N109" i="1"/>
  <c r="X109" i="1" s="1"/>
  <c r="N101" i="1"/>
  <c r="X101" i="1" s="1"/>
  <c r="N93" i="1"/>
  <c r="X93" i="1" s="1"/>
  <c r="M84" i="1"/>
  <c r="N84" i="1"/>
  <c r="M80" i="1"/>
  <c r="X80" i="1" s="1"/>
  <c r="X36" i="1"/>
  <c r="S1" i="1"/>
  <c r="S2" i="1"/>
  <c r="O210" i="1"/>
  <c r="O206" i="1"/>
  <c r="N128" i="1"/>
  <c r="X128" i="1" s="1"/>
  <c r="N120" i="1"/>
  <c r="N112" i="1"/>
  <c r="N104" i="1"/>
  <c r="X104" i="1" s="1"/>
  <c r="N96" i="1"/>
  <c r="M91" i="1"/>
  <c r="X91" i="1" s="1"/>
  <c r="M78" i="1"/>
  <c r="M76" i="1"/>
  <c r="N76" i="1"/>
  <c r="M74" i="1"/>
  <c r="M72" i="1"/>
  <c r="X72" i="1" s="1"/>
  <c r="M51" i="1"/>
  <c r="M47" i="1"/>
  <c r="N47" i="1"/>
  <c r="M32" i="1"/>
  <c r="M16" i="1"/>
  <c r="N132" i="1"/>
  <c r="M126" i="1"/>
  <c r="N123" i="1"/>
  <c r="M118" i="1"/>
  <c r="N115" i="1"/>
  <c r="M110" i="1"/>
  <c r="N107" i="1"/>
  <c r="N99" i="1"/>
  <c r="M69" i="1"/>
  <c r="X69" i="1" s="1"/>
  <c r="M67" i="1"/>
  <c r="N67" i="1"/>
  <c r="M65" i="1"/>
  <c r="M63" i="1"/>
  <c r="M35" i="1"/>
  <c r="M30" i="1"/>
  <c r="N30" i="1"/>
  <c r="M18" i="1"/>
  <c r="M13" i="1"/>
  <c r="N13" i="1"/>
  <c r="N54" i="1"/>
  <c r="N46" i="1"/>
  <c r="N38" i="1"/>
  <c r="X38" i="1" s="1"/>
  <c r="N29" i="1"/>
  <c r="N21" i="1"/>
  <c r="N12" i="1"/>
  <c r="N6" i="1"/>
  <c r="N90" i="1"/>
  <c r="N82" i="1"/>
  <c r="N74" i="1"/>
  <c r="N65" i="1"/>
  <c r="N57" i="1"/>
  <c r="X57" i="1" s="1"/>
  <c r="N49" i="1"/>
  <c r="N41" i="1"/>
  <c r="N32" i="1"/>
  <c r="N24" i="1"/>
  <c r="X24" i="1" s="1"/>
  <c r="N16" i="1"/>
  <c r="N8" i="1"/>
  <c r="X8" i="1" s="1"/>
  <c r="M7" i="1"/>
  <c r="N51" i="1"/>
  <c r="N43" i="1"/>
  <c r="N35" i="1"/>
  <c r="N26" i="1"/>
  <c r="N18" i="1"/>
  <c r="N9" i="1"/>
  <c r="X9" i="1" s="1"/>
  <c r="X58" i="1" l="1"/>
  <c r="X247" i="1"/>
  <c r="X424" i="1"/>
  <c r="X172" i="1"/>
  <c r="X98" i="1"/>
  <c r="X177" i="1"/>
  <c r="X173" i="1"/>
  <c r="X83" i="1"/>
  <c r="X331" i="1"/>
  <c r="X291" i="1"/>
  <c r="X282" i="1"/>
  <c r="X270" i="1"/>
  <c r="X21" i="1"/>
  <c r="X116" i="1"/>
  <c r="X132" i="1"/>
  <c r="X107" i="1"/>
  <c r="X49" i="1"/>
  <c r="X138" i="1"/>
  <c r="X146" i="1"/>
  <c r="X155" i="1"/>
  <c r="X147" i="1"/>
  <c r="X139" i="1"/>
  <c r="X103" i="1"/>
  <c r="X350" i="1"/>
  <c r="X150" i="1"/>
  <c r="X249" i="1"/>
  <c r="X123" i="1"/>
  <c r="X54" i="1"/>
  <c r="X46" i="1"/>
  <c r="X82" i="1"/>
  <c r="X7" i="1"/>
  <c r="X43" i="1"/>
  <c r="X26" i="1"/>
  <c r="X190" i="1"/>
  <c r="X44" i="1"/>
  <c r="X100" i="1"/>
  <c r="X77" i="1"/>
  <c r="X45" i="1"/>
  <c r="X15" i="1"/>
  <c r="X201" i="1"/>
  <c r="X197" i="1"/>
  <c r="X193" i="1"/>
  <c r="X169" i="1"/>
  <c r="X262" i="1"/>
  <c r="X23" i="1"/>
  <c r="X318" i="1"/>
  <c r="X186" i="1"/>
  <c r="X95" i="1"/>
  <c r="X37" i="1"/>
  <c r="X203" i="1"/>
  <c r="X183" i="1"/>
  <c r="X171" i="1"/>
  <c r="X68" i="1"/>
  <c r="X50" i="1"/>
  <c r="X612" i="1"/>
  <c r="X452" i="1"/>
  <c r="X390" i="1"/>
  <c r="X343" i="1"/>
  <c r="X362" i="1"/>
  <c r="X339" i="1"/>
  <c r="X151" i="1"/>
  <c r="X143" i="1"/>
  <c r="X156" i="1"/>
  <c r="X148" i="1"/>
  <c r="X140" i="1"/>
  <c r="X248" i="1"/>
  <c r="X152" i="1"/>
  <c r="X144" i="1"/>
  <c r="X149" i="1"/>
  <c r="X141" i="1"/>
  <c r="X133" i="1"/>
  <c r="X108" i="1"/>
  <c r="X105" i="1"/>
  <c r="X97" i="1"/>
  <c r="X162" i="1"/>
  <c r="X158" i="1"/>
  <c r="X134" i="1"/>
  <c r="X130" i="1"/>
  <c r="X125" i="1"/>
  <c r="X120" i="1"/>
  <c r="X112" i="1"/>
  <c r="X126" i="1"/>
  <c r="X118" i="1"/>
  <c r="X110" i="1"/>
  <c r="X99" i="1"/>
  <c r="X63" i="1"/>
  <c r="X90" i="1"/>
  <c r="X41" i="1"/>
  <c r="X507" i="1"/>
  <c r="X590" i="1"/>
  <c r="X341" i="1"/>
  <c r="X111" i="1"/>
  <c r="X615" i="1"/>
  <c r="X180" i="1"/>
  <c r="X124" i="1"/>
  <c r="X127" i="1"/>
  <c r="X78" i="1"/>
  <c r="X484" i="1"/>
  <c r="X280" i="1"/>
  <c r="X165" i="1"/>
  <c r="X178" i="1"/>
  <c r="X66" i="1"/>
  <c r="X174" i="1"/>
  <c r="X189" i="1"/>
  <c r="X191" i="1"/>
  <c r="X115" i="1"/>
  <c r="X509" i="1"/>
  <c r="X551" i="1"/>
  <c r="X167" i="1"/>
  <c r="X199" i="1"/>
  <c r="X60" i="1"/>
  <c r="X119" i="1"/>
  <c r="X236" i="1"/>
  <c r="X96" i="1"/>
  <c r="X79" i="1"/>
  <c r="X431" i="1"/>
  <c r="X92" i="1"/>
  <c r="X568" i="1"/>
  <c r="X256" i="1"/>
  <c r="X482" i="1"/>
  <c r="X22" i="1"/>
  <c r="X216" i="1"/>
  <c r="X546" i="1"/>
  <c r="X575" i="1"/>
  <c r="X549" i="1"/>
  <c r="X560" i="1"/>
  <c r="X535" i="1"/>
  <c r="X594" i="1"/>
  <c r="X586" i="1"/>
  <c r="X536" i="1"/>
  <c r="X271" i="1"/>
  <c r="X478" i="1"/>
  <c r="X415" i="1"/>
  <c r="X215" i="1"/>
  <c r="X365" i="1"/>
  <c r="X416" i="1"/>
  <c r="X596" i="1"/>
  <c r="X602" i="1"/>
  <c r="X428" i="1"/>
  <c r="X513" i="1"/>
  <c r="X210" i="1"/>
  <c r="X589" i="1"/>
  <c r="X488" i="1"/>
  <c r="X557" i="1"/>
  <c r="X492" i="1"/>
  <c r="X472" i="1"/>
  <c r="X505" i="1"/>
  <c r="X510" i="1"/>
  <c r="X495" i="1"/>
  <c r="X526" i="1"/>
  <c r="X436" i="1"/>
  <c r="X381" i="1"/>
  <c r="X425" i="1"/>
  <c r="X419" i="1"/>
  <c r="X352" i="1"/>
  <c r="X347" i="1"/>
  <c r="X441" i="1"/>
  <c r="X379" i="1"/>
  <c r="X338" i="1"/>
  <c r="X508" i="1"/>
  <c r="X465" i="1"/>
  <c r="X497" i="1"/>
  <c r="X523" i="1"/>
  <c r="X530" i="1"/>
  <c r="X474" i="1"/>
  <c r="X512" i="1"/>
  <c r="X211" i="1"/>
  <c r="X429" i="1"/>
  <c r="X258" i="1"/>
  <c r="X355" i="1"/>
  <c r="X290" i="1"/>
  <c r="X304" i="1"/>
  <c r="X354" i="1"/>
  <c r="X582" i="1"/>
  <c r="X605" i="1"/>
  <c r="X542" i="1"/>
  <c r="X613" i="1"/>
  <c r="X40" i="1"/>
  <c r="X548" i="1"/>
  <c r="X480" i="1"/>
  <c r="X371" i="1"/>
  <c r="X459" i="1"/>
  <c r="X16" i="1"/>
  <c r="X206" i="1"/>
  <c r="X266" i="1"/>
  <c r="X273" i="1"/>
  <c r="X476" i="1"/>
  <c r="X604" i="1"/>
  <c r="X76" i="1"/>
  <c r="X297" i="1"/>
  <c r="X272" i="1"/>
  <c r="X294" i="1"/>
  <c r="X348" i="1"/>
  <c r="X445" i="1"/>
  <c r="X592" i="1"/>
  <c r="X319" i="1"/>
  <c r="X208" i="1"/>
  <c r="X439" i="1"/>
  <c r="X462" i="1"/>
  <c r="X456" i="1"/>
  <c r="X487" i="1"/>
  <c r="X511" i="1"/>
  <c r="X501" i="1"/>
  <c r="X59" i="1"/>
  <c r="X251" i="1"/>
  <c r="X246" i="1"/>
  <c r="X283" i="1"/>
  <c r="X240" i="1"/>
  <c r="X286" i="1"/>
  <c r="X538" i="1"/>
  <c r="X595" i="1"/>
  <c r="X451" i="1"/>
  <c r="X464" i="1"/>
  <c r="X391" i="1"/>
  <c r="X221" i="1"/>
  <c r="X515" i="1"/>
  <c r="X599" i="1"/>
  <c r="X541" i="1"/>
  <c r="X573" i="1"/>
  <c r="X333" i="1"/>
  <c r="X404" i="1"/>
  <c r="X461" i="1"/>
  <c r="X423" i="1"/>
  <c r="X470" i="1"/>
  <c r="X426" i="1"/>
  <c r="X447" i="1"/>
  <c r="X570" i="1"/>
  <c r="X306" i="1"/>
  <c r="X231" i="1"/>
  <c r="X232" i="1"/>
  <c r="X342" i="1"/>
  <c r="X565" i="1"/>
  <c r="X600" i="1"/>
  <c r="X502" i="1"/>
  <c r="X506" i="1"/>
  <c r="X564" i="1"/>
  <c r="X532" i="1"/>
  <c r="X527" i="1"/>
  <c r="X360" i="1"/>
  <c r="X375" i="1"/>
  <c r="X408" i="1"/>
  <c r="X473" i="1"/>
  <c r="X435" i="1"/>
  <c r="X450" i="1"/>
  <c r="X485" i="1"/>
  <c r="V502" i="1"/>
  <c r="X39" i="1"/>
  <c r="X268" i="1"/>
  <c r="X312" i="1"/>
  <c r="X349" i="1"/>
  <c r="X413" i="1"/>
  <c r="X410" i="1"/>
  <c r="X519" i="1"/>
  <c r="X559" i="1"/>
  <c r="X578" i="1"/>
  <c r="X545" i="1"/>
  <c r="X521" i="1"/>
  <c r="X378" i="1"/>
  <c r="X411" i="1"/>
  <c r="X540" i="1"/>
  <c r="X561" i="1"/>
  <c r="X576" i="1"/>
  <c r="X65" i="1"/>
  <c r="X446" i="1"/>
  <c r="X238" i="1"/>
  <c r="X242" i="1"/>
  <c r="X230" i="1"/>
  <c r="X252" i="1"/>
  <c r="X263" i="1"/>
  <c r="X257" i="1"/>
  <c r="X274" i="1"/>
  <c r="X316" i="1"/>
  <c r="X298" i="1"/>
  <c r="X321" i="1"/>
  <c r="X334" i="1"/>
  <c r="X335" i="1"/>
  <c r="X317" i="1"/>
  <c r="X373" i="1"/>
  <c r="X305" i="1"/>
  <c r="X366" i="1"/>
  <c r="X453" i="1"/>
  <c r="X394" i="1"/>
  <c r="X412" i="1"/>
  <c r="X455" i="1"/>
  <c r="X458" i="1"/>
  <c r="X579" i="1"/>
  <c r="X562" i="1"/>
  <c r="X585" i="1"/>
  <c r="X611" i="1"/>
  <c r="X477" i="1"/>
  <c r="X552" i="1"/>
  <c r="X566" i="1"/>
  <c r="X278" i="1"/>
  <c r="X214" i="1"/>
  <c r="X18" i="1"/>
  <c r="X12" i="1"/>
  <c r="X222" i="1"/>
  <c r="X239" i="1"/>
  <c r="X255" i="1"/>
  <c r="X320" i="1"/>
  <c r="X293" i="1"/>
  <c r="X310" i="1"/>
  <c r="X356" i="1"/>
  <c r="X400" i="1"/>
  <c r="X454" i="1"/>
  <c r="X481" i="1"/>
  <c r="X581" i="1"/>
  <c r="X493" i="1"/>
  <c r="X554" i="1"/>
  <c r="X567" i="1"/>
  <c r="X616" i="1"/>
  <c r="X543" i="1"/>
  <c r="X302" i="1"/>
  <c r="X363" i="1"/>
  <c r="X468" i="1"/>
  <c r="X368" i="1"/>
  <c r="X389" i="1"/>
  <c r="X227" i="1"/>
  <c r="X234" i="1"/>
  <c r="X337" i="1"/>
  <c r="X277" i="1"/>
  <c r="X308" i="1"/>
  <c r="X386" i="1"/>
  <c r="X307" i="1"/>
  <c r="X287" i="1"/>
  <c r="X326" i="1"/>
  <c r="X357" i="1"/>
  <c r="X361" i="1"/>
  <c r="X374" i="1"/>
  <c r="X403" i="1"/>
  <c r="X417" i="1"/>
  <c r="X460" i="1"/>
  <c r="X432" i="1"/>
  <c r="X420" i="1"/>
  <c r="X384" i="1"/>
  <c r="X489" i="1"/>
  <c r="X516" i="1"/>
  <c r="X539" i="1"/>
  <c r="X427" i="1"/>
  <c r="X587" i="1"/>
  <c r="X250" i="1"/>
  <c r="V524" i="1"/>
  <c r="X524" i="1"/>
  <c r="P2" i="1"/>
  <c r="X163" i="1"/>
  <c r="X136" i="1"/>
  <c r="X225" i="1"/>
  <c r="X244" i="1"/>
  <c r="X233" i="1"/>
  <c r="X243" i="1"/>
  <c r="X300" i="1"/>
  <c r="X359" i="1"/>
  <c r="X295" i="1"/>
  <c r="X328" i="1"/>
  <c r="X301" i="1"/>
  <c r="X265" i="1"/>
  <c r="X433" i="1"/>
  <c r="X387" i="1"/>
  <c r="X421" i="1"/>
  <c r="X437" i="1"/>
  <c r="X448" i="1"/>
  <c r="X469" i="1"/>
  <c r="X571" i="1"/>
  <c r="X608" i="1"/>
  <c r="X463" i="1"/>
  <c r="X71" i="1"/>
  <c r="X87" i="1"/>
  <c r="X213" i="1"/>
  <c r="X259" i="1"/>
  <c r="X224" i="1"/>
  <c r="X323" i="1"/>
  <c r="X397" i="1"/>
  <c r="X340" i="1"/>
  <c r="X443" i="1"/>
  <c r="V443" i="1"/>
  <c r="V517" i="1"/>
  <c r="X517" i="1"/>
  <c r="V556" i="1"/>
  <c r="X556" i="1"/>
  <c r="X525" i="1"/>
  <c r="V525" i="1"/>
  <c r="X29" i="1"/>
  <c r="X159" i="1"/>
  <c r="X324" i="1"/>
  <c r="X327" i="1"/>
  <c r="X279" i="1"/>
  <c r="X401" i="1"/>
  <c r="X418" i="1"/>
  <c r="V496" i="1"/>
  <c r="X496" i="1"/>
  <c r="V553" i="1"/>
  <c r="X553" i="1"/>
  <c r="X500" i="1"/>
  <c r="V528" i="1"/>
  <c r="X528" i="1"/>
  <c r="X449" i="1"/>
  <c r="V494" i="1"/>
  <c r="X494" i="1"/>
  <c r="V518" i="1"/>
  <c r="X518" i="1"/>
  <c r="X601" i="1"/>
  <c r="X597" i="1"/>
  <c r="X563" i="1"/>
  <c r="V533" i="1"/>
  <c r="X533" i="1"/>
  <c r="N2" i="1"/>
  <c r="N1" i="1"/>
  <c r="X330" i="1"/>
  <c r="X405" i="1"/>
  <c r="X392" i="1"/>
  <c r="X407" i="1"/>
  <c r="X422" i="1"/>
  <c r="X438" i="1"/>
  <c r="X380" i="1"/>
  <c r="X430" i="1"/>
  <c r="X288" i="1"/>
  <c r="X475" i="1"/>
  <c r="X529" i="1"/>
  <c r="V529" i="1"/>
  <c r="X609" i="1"/>
  <c r="X67" i="1"/>
  <c r="X84" i="1"/>
  <c r="R1" i="1"/>
  <c r="R2" i="1"/>
  <c r="X30" i="1"/>
  <c r="Q2" i="1"/>
  <c r="Q1" i="1"/>
  <c r="X157" i="1"/>
  <c r="X160" i="1"/>
  <c r="X218" i="1"/>
  <c r="X212" i="1"/>
  <c r="X245" i="1"/>
  <c r="X289" i="1"/>
  <c r="X241" i="1"/>
  <c r="X228" i="1"/>
  <c r="X276" i="1"/>
  <c r="X358" i="1"/>
  <c r="X226" i="1"/>
  <c r="X409" i="1"/>
  <c r="X398" i="1"/>
  <c r="X414" i="1"/>
  <c r="V498" i="1"/>
  <c r="X498" i="1"/>
  <c r="X544" i="1"/>
  <c r="X503" i="1"/>
  <c r="V550" i="1"/>
  <c r="X550" i="1"/>
  <c r="V531" i="1"/>
  <c r="X531" i="1"/>
  <c r="X537" i="1"/>
  <c r="X584" i="1"/>
  <c r="X606" i="1"/>
  <c r="X588" i="1"/>
  <c r="X593" i="1"/>
  <c r="X32" i="1"/>
  <c r="X62" i="1"/>
  <c r="X35" i="1"/>
  <c r="X74" i="1"/>
  <c r="X207" i="1"/>
  <c r="X135" i="1"/>
  <c r="X253" i="1"/>
  <c r="X313" i="1"/>
  <c r="X296" i="1"/>
  <c r="X284" i="1"/>
  <c r="X314" i="1"/>
  <c r="X281" i="1"/>
  <c r="X369" i="1"/>
  <c r="X383" i="1"/>
  <c r="X395" i="1"/>
  <c r="X377" i="1"/>
  <c r="X382" i="1"/>
  <c r="X442" i="1"/>
  <c r="X483" i="1"/>
  <c r="X491" i="1"/>
  <c r="X479" i="1"/>
  <c r="X467" i="1"/>
  <c r="X457" i="1"/>
  <c r="X471" i="1"/>
  <c r="X558" i="1"/>
  <c r="V558" i="1"/>
  <c r="V577" i="1"/>
  <c r="X577" i="1"/>
  <c r="X574" i="1"/>
  <c r="V574" i="1"/>
  <c r="X583" i="1"/>
  <c r="O2" i="1"/>
  <c r="O1" i="1"/>
  <c r="M2" i="1"/>
  <c r="X55" i="1"/>
  <c r="M1" i="1"/>
  <c r="X75" i="1"/>
  <c r="X254" i="1"/>
  <c r="P1" i="1"/>
  <c r="X260" i="1"/>
  <c r="X309" i="1"/>
  <c r="X332" i="1"/>
  <c r="X303" i="1"/>
  <c r="X269" i="1"/>
  <c r="X311" i="1"/>
  <c r="X353" i="1"/>
  <c r="X367" i="1"/>
  <c r="X292" i="1"/>
  <c r="X329" i="1"/>
  <c r="X396" i="1"/>
  <c r="X402" i="1"/>
  <c r="X388" i="1"/>
  <c r="V522" i="1"/>
  <c r="X522" i="1"/>
  <c r="V504" i="1"/>
  <c r="X504" i="1"/>
  <c r="X499" i="1"/>
  <c r="X591" i="1"/>
  <c r="V514" i="1"/>
  <c r="X514" i="1"/>
  <c r="X13" i="1"/>
  <c r="X47" i="1"/>
  <c r="X51" i="1"/>
  <c r="X6" i="1"/>
  <c r="X209" i="1"/>
  <c r="X219" i="1"/>
  <c r="X264" i="1"/>
  <c r="X315" i="1"/>
  <c r="X385" i="1"/>
  <c r="X267" i="1"/>
  <c r="X345" i="1"/>
  <c r="X275" i="1"/>
  <c r="X351" i="1"/>
  <c r="X322" i="1"/>
  <c r="X399" i="1"/>
  <c r="X336" i="1"/>
  <c r="X486" i="1"/>
  <c r="X344" i="1"/>
  <c r="X364" i="1"/>
  <c r="X434" i="1"/>
  <c r="X610" i="1"/>
  <c r="X555" i="1"/>
  <c r="V547" i="1"/>
  <c r="X547" i="1"/>
  <c r="X229" i="1"/>
  <c r="X223" i="1"/>
  <c r="X237" i="1"/>
  <c r="X220" i="1"/>
  <c r="X261" i="1"/>
  <c r="X325" i="1"/>
  <c r="X393" i="1"/>
  <c r="X370" i="1"/>
  <c r="X372" i="1"/>
  <c r="X406" i="1"/>
  <c r="X490" i="1"/>
  <c r="V572" i="1"/>
  <c r="X572" i="1"/>
  <c r="X466" i="1"/>
  <c r="X569" i="1"/>
  <c r="V569" i="1"/>
  <c r="X614" i="1"/>
  <c r="X534" i="1"/>
  <c r="V534" i="1"/>
  <c r="E1" i="1" l="1"/>
  <c r="E4" i="1" s="1"/>
  <c r="K1" i="1"/>
  <c r="V2" i="1"/>
  <c r="V1" i="1"/>
</calcChain>
</file>

<file path=xl/sharedStrings.xml><?xml version="1.0" encoding="utf-8"?>
<sst xmlns="http://schemas.openxmlformats.org/spreadsheetml/2006/main" count="5328" uniqueCount="2705">
  <si>
    <t>LFLP</t>
    <phoneticPr fontId="0" type="noConversion"/>
  </si>
  <si>
    <t>EGFF</t>
    <phoneticPr fontId="0" type="noConversion"/>
  </si>
  <si>
    <t>EGHJ</t>
    <phoneticPr fontId="0" type="noConversion"/>
  </si>
  <si>
    <t>EGKB</t>
  </si>
  <si>
    <t>EGKB</t>
    <phoneticPr fontId="0" type="noConversion"/>
  </si>
  <si>
    <t>EGLK</t>
    <phoneticPr fontId="0" type="noConversion"/>
  </si>
  <si>
    <t>LFOQ</t>
  </si>
  <si>
    <t>LFOQ</t>
    <phoneticPr fontId="0" type="noConversion"/>
  </si>
  <si>
    <t>LFDS</t>
  </si>
  <si>
    <t>LFDS</t>
    <phoneticPr fontId="0" type="noConversion"/>
  </si>
  <si>
    <t>EGHH</t>
  </si>
  <si>
    <t>EGHH</t>
    <phoneticPr fontId="0" type="noConversion"/>
  </si>
  <si>
    <t>LFRK</t>
    <phoneticPr fontId="0" type="noConversion"/>
  </si>
  <si>
    <t>LFAC</t>
  </si>
  <si>
    <t>LFAC</t>
    <phoneticPr fontId="0" type="noConversion"/>
  </si>
  <si>
    <t>EGHA</t>
  </si>
  <si>
    <t>EGHA</t>
    <phoneticPr fontId="0" type="noConversion"/>
  </si>
  <si>
    <t>EGBE</t>
  </si>
  <si>
    <t>EGBE</t>
    <phoneticPr fontId="0" type="noConversion"/>
  </si>
  <si>
    <t>EGBE</t>
    <phoneticPr fontId="0" type="noConversion"/>
  </si>
  <si>
    <t>LFRG</t>
    <phoneticPr fontId="0" type="noConversion"/>
  </si>
  <si>
    <t>LFBK</t>
  </si>
  <si>
    <t>LFBK</t>
    <phoneticPr fontId="0" type="noConversion"/>
  </si>
  <si>
    <t>EGTE</t>
  </si>
  <si>
    <t>EGTE</t>
    <phoneticPr fontId="0" type="noConversion"/>
  </si>
  <si>
    <t>EGTF</t>
  </si>
  <si>
    <t>EGTF</t>
    <phoneticPr fontId="0" type="noConversion"/>
  </si>
  <si>
    <t>LFFK</t>
  </si>
  <si>
    <t>LFFK</t>
    <phoneticPr fontId="0" type="noConversion"/>
  </si>
  <si>
    <t>EGKA</t>
    <phoneticPr fontId="0" type="noConversion"/>
  </si>
  <si>
    <t>EGFF</t>
    <phoneticPr fontId="0" type="noConversion"/>
  </si>
  <si>
    <t>Lunch with C+J - ILS into Cardiff</t>
    <phoneticPr fontId="0" type="noConversion"/>
  </si>
  <si>
    <t>GOPUK</t>
    <phoneticPr fontId="0" type="noConversion"/>
  </si>
  <si>
    <t>Self</t>
    <phoneticPr fontId="0" type="noConversion"/>
  </si>
  <si>
    <t>Self</t>
    <phoneticPr fontId="0" type="noConversion"/>
  </si>
  <si>
    <t>IFR, HON, MID &amp; Jumbos!</t>
  </si>
  <si>
    <t>GSACZ</t>
  </si>
  <si>
    <t>Local with H - not sure of times</t>
  </si>
  <si>
    <t>GBZGA</t>
  </si>
  <si>
    <t>Westwood</t>
  </si>
  <si>
    <t>Return via MCT</t>
  </si>
  <si>
    <t>Chapman</t>
  </si>
  <si>
    <t>Abandoned to Goodwood</t>
  </si>
  <si>
    <t>5+1</t>
  </si>
  <si>
    <t>Landing on 03 Grass</t>
  </si>
  <si>
    <t>With H, Rob, Martin &amp; Corinney</t>
  </si>
  <si>
    <t>12+1</t>
  </si>
  <si>
    <t>3+1</t>
  </si>
  <si>
    <t>11+1</t>
  </si>
  <si>
    <t>25 mins in hold at EGKA</t>
  </si>
  <si>
    <t>Bad Weather Divert, Should have been Cov</t>
  </si>
  <si>
    <t>300 NM X Country Qual for CPL</t>
  </si>
  <si>
    <t>Local with Alan &amp; Anthony</t>
  </si>
  <si>
    <t>Local</t>
  </si>
  <si>
    <t>GBZHV</t>
  </si>
  <si>
    <t>N8391S</t>
  </si>
  <si>
    <t>IR Ex 9 - Soton -&gt; Ald</t>
    <phoneticPr fontId="0" type="noConversion"/>
  </si>
  <si>
    <t>EGMC</t>
  </si>
  <si>
    <t>EGMC</t>
    <phoneticPr fontId="0" type="noConversion"/>
  </si>
  <si>
    <t>EGNV</t>
    <phoneticPr fontId="0" type="noConversion"/>
  </si>
  <si>
    <t>EGSR</t>
  </si>
  <si>
    <t>EGSR</t>
    <phoneticPr fontId="0" type="noConversion"/>
  </si>
  <si>
    <t>EGBW</t>
    <phoneticPr fontId="0" type="noConversion"/>
  </si>
  <si>
    <t>EIWT</t>
  </si>
  <si>
    <t>EIWT</t>
    <phoneticPr fontId="0" type="noConversion"/>
  </si>
  <si>
    <t>EGLM</t>
  </si>
  <si>
    <t>EGLM</t>
    <phoneticPr fontId="0" type="noConversion"/>
  </si>
  <si>
    <t>SIM</t>
    <phoneticPr fontId="0" type="noConversion"/>
  </si>
  <si>
    <t>EGJA</t>
  </si>
  <si>
    <t>EGJA</t>
    <phoneticPr fontId="0" type="noConversion"/>
  </si>
  <si>
    <t>LFLB</t>
    <phoneticPr fontId="0" type="noConversion"/>
  </si>
  <si>
    <t>EGSM</t>
  </si>
  <si>
    <t>EGSM</t>
    <phoneticPr fontId="0" type="noConversion"/>
  </si>
  <si>
    <t>EGHH</t>
    <phoneticPr fontId="0" type="noConversion"/>
  </si>
  <si>
    <t>EGGD</t>
  </si>
  <si>
    <t>EGGD</t>
    <phoneticPr fontId="0" type="noConversion"/>
  </si>
  <si>
    <t>EGMD</t>
    <phoneticPr fontId="0" type="noConversion"/>
  </si>
  <si>
    <t>Count of To</t>
  </si>
  <si>
    <t>Flight test with Adrian Wilton (2+1)</t>
    <phoneticPr fontId="0" type="noConversion"/>
  </si>
  <si>
    <t>local VOR tracking with Proc turn</t>
  </si>
  <si>
    <t>Kevin Safety Pilot</t>
  </si>
  <si>
    <t>Ex 20, 1 CCT, Signed</t>
  </si>
  <si>
    <t>Ex 20, Solo X Country, Southend, Lincoln, Signed</t>
  </si>
  <si>
    <t>Terry</t>
  </si>
  <si>
    <t>Isle of Wight (H, Chris &amp; Dale)</t>
  </si>
  <si>
    <t>ILS * 3 (1 ASYM) @ Southend, Chowen as safety pilot</t>
  </si>
  <si>
    <t>With Mick, brief ILS to 1500'</t>
  </si>
  <si>
    <t>via Southend</t>
  </si>
  <si>
    <t>Local, steep turns</t>
  </si>
  <si>
    <t>Local with H, WX Bad</t>
  </si>
  <si>
    <t>Vickers</t>
    <phoneticPr fontId="0" type="noConversion"/>
  </si>
  <si>
    <t>IMC Renewal - VOR Soton, NDB/DME 02 Vic C 20</t>
    <phoneticPr fontId="0" type="noConversion"/>
  </si>
  <si>
    <t>IMC Test Part 2 - VDF Let Down 02</t>
  </si>
  <si>
    <t>IMC Test Part 1, Gary Leicester</t>
  </si>
  <si>
    <t>Cross Channel Checkout with McKinnon, Signed</t>
  </si>
  <si>
    <t>GBBCZ</t>
  </si>
  <si>
    <t>GBCAH</t>
  </si>
  <si>
    <t>DHC-1</t>
  </si>
  <si>
    <t>Diff Training - Present from H</t>
  </si>
  <si>
    <t>With H &amp; Warren</t>
  </si>
  <si>
    <t>SAM, STU</t>
  </si>
  <si>
    <t>IMC STU to Aldbury</t>
  </si>
  <si>
    <t>EKGA</t>
  </si>
  <si>
    <t>Arrival</t>
  </si>
  <si>
    <t>In
Command</t>
  </si>
  <si>
    <t>Dual</t>
  </si>
  <si>
    <t>Instrument
Flying</t>
  </si>
  <si>
    <t>Instructor</t>
  </si>
  <si>
    <t>Archer-III</t>
  </si>
  <si>
    <t>VDF Proc 03, Compas Turns</t>
  </si>
  <si>
    <t>Local with H around Isle of Wight</t>
  </si>
  <si>
    <t>GBUJP</t>
    <phoneticPr fontId="0" type="noConversion"/>
  </si>
  <si>
    <t>EGKA</t>
    <phoneticPr fontId="0" type="noConversion"/>
  </si>
  <si>
    <t>Sleap to see Rob &amp; Jo</t>
    <phoneticPr fontId="0" type="noConversion"/>
  </si>
  <si>
    <t>1 circuit</t>
    <phoneticPr fontId="0" type="noConversion"/>
  </si>
  <si>
    <t>PA28</t>
    <phoneticPr fontId="0" type="noConversion"/>
  </si>
  <si>
    <t>PA28</t>
    <phoneticPr fontId="0" type="noConversion"/>
  </si>
  <si>
    <t>GBUJP</t>
    <phoneticPr fontId="0" type="noConversion"/>
  </si>
  <si>
    <t>Self</t>
    <phoneticPr fontId="0" type="noConversion"/>
  </si>
  <si>
    <t>EGKA</t>
    <phoneticPr fontId="0" type="noConversion"/>
  </si>
  <si>
    <t>EGBW</t>
  </si>
  <si>
    <t>EGBW</t>
    <phoneticPr fontId="0" type="noConversion"/>
  </si>
  <si>
    <t>EGCV</t>
  </si>
  <si>
    <t>LFLP</t>
  </si>
  <si>
    <t>FIC Ex 9 Give back, PFL, Efato</t>
  </si>
  <si>
    <t>FIC Test - Pooley Pass!!</t>
  </si>
  <si>
    <t>Airbase checkout - M Weeks</t>
  </si>
  <si>
    <t>With H, Bad Viz</t>
  </si>
  <si>
    <t>GSARA</t>
  </si>
  <si>
    <t>With Simon and Richard</t>
  </si>
  <si>
    <t>Ex 12, 13, 1+1, Progress Check</t>
  </si>
  <si>
    <t>Ex 12, 13, 3+1</t>
  </si>
  <si>
    <t>GEKKL</t>
  </si>
  <si>
    <t>Vickers</t>
  </si>
  <si>
    <t>Ex 12, 13, 5+1, 3 Glide, 1 Flapless</t>
  </si>
  <si>
    <t>Ex 18, Shm, Petersfield, B Hill, Shm</t>
  </si>
  <si>
    <t>A. Balcomb - Bad Approach!</t>
  </si>
  <si>
    <t>28 day check - M Vaughan</t>
  </si>
  <si>
    <t>Ex 18, Bewl, Battle, Divert Seaford</t>
  </si>
  <si>
    <t>EGBJ</t>
  </si>
  <si>
    <t>EGBJ</t>
    <phoneticPr fontId="0" type="noConversion"/>
  </si>
  <si>
    <t>EGCW</t>
  </si>
  <si>
    <t>EGCW</t>
    <phoneticPr fontId="0" type="noConversion"/>
  </si>
  <si>
    <t>EGJJ</t>
    <phoneticPr fontId="0" type="noConversion"/>
  </si>
  <si>
    <t>EGUS</t>
  </si>
  <si>
    <t>EGUS</t>
    <phoneticPr fontId="0" type="noConversion"/>
  </si>
  <si>
    <t>EGNM</t>
    <phoneticPr fontId="0" type="noConversion"/>
  </si>
  <si>
    <t>EGNT</t>
    <phoneticPr fontId="0" type="noConversion"/>
  </si>
  <si>
    <t>EGMD</t>
    <phoneticPr fontId="0" type="noConversion"/>
  </si>
  <si>
    <t>EBOS</t>
  </si>
  <si>
    <t>EBOS</t>
    <phoneticPr fontId="0" type="noConversion"/>
  </si>
  <si>
    <t>EGLK</t>
    <phoneticPr fontId="0" type="noConversion"/>
  </si>
  <si>
    <t>EGSX</t>
  </si>
  <si>
    <t>EGSX</t>
    <phoneticPr fontId="0" type="noConversion"/>
  </si>
  <si>
    <t>EGLS</t>
  </si>
  <si>
    <t>EGLS</t>
    <phoneticPr fontId="0" type="noConversion"/>
  </si>
  <si>
    <t>EGTK</t>
  </si>
  <si>
    <t>EGTK</t>
    <phoneticPr fontId="0" type="noConversion"/>
  </si>
  <si>
    <t>EGTP</t>
    <phoneticPr fontId="0" type="noConversion"/>
  </si>
  <si>
    <t>LFOP</t>
    <phoneticPr fontId="0" type="noConversion"/>
  </si>
  <si>
    <t>EGBS</t>
  </si>
  <si>
    <t>EGBS</t>
    <phoneticPr fontId="0" type="noConversion"/>
  </si>
  <si>
    <t>EGCV</t>
    <phoneticPr fontId="0" type="noConversion"/>
  </si>
  <si>
    <t>SIM</t>
    <phoneticPr fontId="0" type="noConversion"/>
  </si>
  <si>
    <t>SIM</t>
    <phoneticPr fontId="0" type="noConversion"/>
  </si>
  <si>
    <t>Ex 18, Shm, Battle, T.Wells, Uckfield, Shm</t>
  </si>
  <si>
    <t>Ex 18a, Diversion</t>
  </si>
  <si>
    <t>Ex 18b, Radio Nav + Advanced Turns</t>
  </si>
  <si>
    <t>Solo Away</t>
  </si>
  <si>
    <t>Mitchell</t>
  </si>
  <si>
    <t>Ex 18c, Pre Qual with Diversion</t>
  </si>
  <si>
    <t>Ex 15, Steep turns, Ex 10b PFL, Ex 16 1+1, Stalling - Signed</t>
  </si>
  <si>
    <t>Ex 15, Ex 10, Stalls - Signed</t>
  </si>
  <si>
    <t>Cross Country Qualifier</t>
  </si>
  <si>
    <t>Ex17, 18c, Skills test revision</t>
  </si>
  <si>
    <t>Ex 18, local</t>
  </si>
  <si>
    <t>VOR Tracking and Intro to SRA</t>
  </si>
  <si>
    <t>Harling</t>
  </si>
  <si>
    <t>Checkout, 2 * PFL</t>
  </si>
  <si>
    <t>GRKSR</t>
  </si>
  <si>
    <t>Ex 19 - Signed</t>
  </si>
  <si>
    <t>Ex10b2 - Stalling(0.5) - Signed</t>
  </si>
  <si>
    <t>Ex12, 13</t>
  </si>
  <si>
    <t>Herlihy</t>
  </si>
  <si>
    <t>Ex 12, 13, 6+1, Efato, Flapless</t>
  </si>
  <si>
    <t>Ex 12, 13, 6+1</t>
  </si>
  <si>
    <t>Ex 12, 13, 6+2</t>
  </si>
  <si>
    <t>GBPDU</t>
  </si>
  <si>
    <t>Ex 10a (Signed), Ex12, 13 3+1</t>
  </si>
  <si>
    <t>Ex 12, 13 2+1</t>
  </si>
  <si>
    <t>Ex 12, 13, 1+1</t>
  </si>
  <si>
    <t>Self</t>
  </si>
  <si>
    <t>Ex 14 - First Solo!</t>
  </si>
  <si>
    <t>Ex 15</t>
  </si>
  <si>
    <t>Ex 12, 13, 4+1</t>
  </si>
  <si>
    <t>Ex 10b (0:40), Signed</t>
  </si>
  <si>
    <t>Brownie</t>
  </si>
  <si>
    <t>Total</t>
  </si>
  <si>
    <t>Ex 12, 13, 5+1</t>
  </si>
  <si>
    <t>Powell</t>
  </si>
  <si>
    <t>Ex 12, 13, 7+1 - 2 Flapless, 2 Glide</t>
  </si>
  <si>
    <t>Ex 18, Ex 12, 13, 4+1</t>
  </si>
  <si>
    <t>Ex 14</t>
  </si>
  <si>
    <t>Ex 18</t>
  </si>
  <si>
    <t>McKinnon</t>
  </si>
  <si>
    <t>Local, Abandoned tough running</t>
  </si>
  <si>
    <t>GBZHK</t>
  </si>
  <si>
    <t>ILS -&gt; Chambery</t>
  </si>
  <si>
    <t>LFLB</t>
  </si>
  <si>
    <t>IFR BCN-&gt; STU</t>
  </si>
  <si>
    <t>IFR, WAL, HON, MID</t>
  </si>
  <si>
    <t>With H, K &amp; Paul (Puppies)</t>
  </si>
  <si>
    <t>GAM, CPT, GWC Above Cloud</t>
  </si>
  <si>
    <t>CCTS</t>
  </si>
  <si>
    <t>Ex 20, Night Navex Guildfordm Petersfield, Divert Goodwood, Signed</t>
  </si>
  <si>
    <t>PA32 Checkout, Signed</t>
  </si>
  <si>
    <t>CCTS (10), Glide, Flappless, LLC</t>
  </si>
  <si>
    <t>Hav Hungerford, PFL-&gt; Compt, Spiral Dive, PP</t>
  </si>
  <si>
    <t>CPL 170</t>
  </si>
  <si>
    <t>Navex Evercreech</t>
  </si>
  <si>
    <t>PFL's</t>
  </si>
  <si>
    <t>CPL Flight test - partial</t>
  </si>
  <si>
    <t>Lots of PFL's</t>
  </si>
  <si>
    <t>More PFL's</t>
  </si>
  <si>
    <t>GIEIO</t>
  </si>
  <si>
    <t>With H, Chris &amp; Jo</t>
  </si>
  <si>
    <t>PFL Practice</t>
  </si>
  <si>
    <t>CPL Retake!!!</t>
  </si>
  <si>
    <t>GBTDV</t>
  </si>
  <si>
    <t>Local with NDB to 03 + LLC</t>
  </si>
  <si>
    <t>KTEB</t>
  </si>
  <si>
    <t>Teterborough Check out</t>
  </si>
  <si>
    <t>Local (30 mins in the hold)</t>
  </si>
  <si>
    <t>Skills Test!!!! - Signed McKinnon</t>
  </si>
  <si>
    <t>Transit SAM</t>
  </si>
  <si>
    <t>Shm, Bewl, Rye</t>
  </si>
  <si>
    <t>Ret via Silverstone</t>
  </si>
  <si>
    <t>4+1 with Mitchell</t>
  </si>
  <si>
    <t>2+1 Rough Engine</t>
  </si>
  <si>
    <t>4+1</t>
  </si>
  <si>
    <t>To Lydd but turned back</t>
  </si>
  <si>
    <t>Local with H &amp; Warren</t>
  </si>
  <si>
    <t>AA-5</t>
  </si>
  <si>
    <t>VOR tracking, NDB SHM + VDF Letdown, Signed</t>
  </si>
  <si>
    <t>IMC Revision</t>
  </si>
  <si>
    <t>Simulated</t>
  </si>
  <si>
    <t>Single Engine</t>
  </si>
  <si>
    <t>Multi Engine</t>
  </si>
  <si>
    <t>Comments</t>
  </si>
  <si>
    <t>Kingshott</t>
  </si>
  <si>
    <t>EGKA</t>
  </si>
  <si>
    <t>Depart</t>
  </si>
  <si>
    <t>Ex4.1, Ex3</t>
  </si>
  <si>
    <t>Ex4.2, 6, 1, 2</t>
  </si>
  <si>
    <t>Ex6.2, 7, 8, 5E</t>
  </si>
  <si>
    <t>Ex8</t>
  </si>
  <si>
    <t>Ex9</t>
  </si>
  <si>
    <t>Revision Ex 5</t>
  </si>
  <si>
    <t>Ex 9</t>
  </si>
  <si>
    <t>Ex 10, Revision</t>
  </si>
  <si>
    <t>Ex10b, (0:30) - Signed</t>
  </si>
  <si>
    <t>Revision</t>
  </si>
  <si>
    <t>Ex 19, Aborted smoke in Cockpit</t>
  </si>
  <si>
    <t>Ex 19a, Signed</t>
  </si>
  <si>
    <t>GRSKR</t>
  </si>
  <si>
    <t>GBOTN</t>
  </si>
  <si>
    <t>GBOKB</t>
  </si>
  <si>
    <t>GBOJZ</t>
  </si>
  <si>
    <t>Local with Dale, proc turn @ GWC</t>
  </si>
  <si>
    <t>Inc simulated fuel failure</t>
  </si>
  <si>
    <t>2 * Asym app + GA @ EGKA</t>
  </si>
  <si>
    <t>Engine failure + restart, 1 + 1 asym</t>
  </si>
  <si>
    <t>Flight test with D Pooley</t>
  </si>
  <si>
    <t>PA34</t>
  </si>
  <si>
    <t>T</t>
  </si>
  <si>
    <t>Chowen</t>
  </si>
  <si>
    <t>General Handling &amp; Circuits</t>
  </si>
  <si>
    <t>Handling &amp; Circuits - Abandoned</t>
  </si>
  <si>
    <t>6 + 1, Low approach &amp; Go around</t>
  </si>
  <si>
    <t>Asymetric part 1</t>
  </si>
  <si>
    <t>Asymetric CCTS 3 + Low App &amp; Go around</t>
  </si>
  <si>
    <t>FIC Ex 16.1 Give and Give Back, PFL RW 25</t>
  </si>
  <si>
    <t>FIC Ex 16.1 Give to Heather</t>
  </si>
  <si>
    <t>FIC Ex 19 Give &amp; Give back, Ex 18c</t>
  </si>
  <si>
    <t>FIC Ex 6.1 Give back</t>
  </si>
  <si>
    <t>FIC Ex 4.1/19 Give back Heather Mutual</t>
  </si>
  <si>
    <t>GBMTS</t>
  </si>
  <si>
    <t>C172</t>
  </si>
  <si>
    <t>FIC Ex 6.2 Give back</t>
  </si>
  <si>
    <t>FIC Ex 10b1 give back + spinning</t>
  </si>
  <si>
    <t>FIC Ex 18a, b Navex Paddock Wood, Faversham</t>
  </si>
  <si>
    <t>FIC Ex 10a</t>
  </si>
  <si>
    <t>FIC Spinning Signed</t>
  </si>
  <si>
    <t>MEP Renewal - Signed, Terry</t>
  </si>
  <si>
    <t>IFR Departure, Fog @ Rouen</t>
  </si>
  <si>
    <t>GBHIL</t>
  </si>
  <si>
    <t>I - Ex 4.1 A Warden</t>
  </si>
  <si>
    <t>Leeds</t>
  </si>
  <si>
    <t>Airways + ILS</t>
  </si>
  <si>
    <t>Icing!!!</t>
  </si>
  <si>
    <t>Pick Up Chris</t>
  </si>
  <si>
    <t>With Russ - Abandoned</t>
  </si>
  <si>
    <t>Ex 19a</t>
  </si>
  <si>
    <t>Ex 19a, b</t>
  </si>
  <si>
    <t>Compass &amp; Timed Turns</t>
  </si>
  <si>
    <t>IR Ex 6 - Asym</t>
  </si>
  <si>
    <t>IR Ex 7 DME Arc</t>
  </si>
  <si>
    <t>GLORD</t>
  </si>
  <si>
    <t>General handling, NDB/DME 02 + LLC</t>
  </si>
  <si>
    <t>ME/SE02 - Limited Panel</t>
  </si>
  <si>
    <t>ME/SE02 - Stall</t>
  </si>
  <si>
    <t>ME/SE03 - Holds + ILS</t>
  </si>
  <si>
    <t>Ex 18 - Land Away</t>
  </si>
  <si>
    <t>Thru Controlled Airspace</t>
  </si>
  <si>
    <t>Ex 18a, via Hazelmere</t>
  </si>
  <si>
    <t>Ex 18a</t>
  </si>
  <si>
    <t>Abandoned to Sandown, 2+2</t>
  </si>
  <si>
    <t xml:space="preserve">Checkout </t>
  </si>
  <si>
    <t>Abandoned flight to Plymouth</t>
  </si>
  <si>
    <t>GBSZT</t>
  </si>
  <si>
    <t>With H, Kev &amp; Sue</t>
  </si>
  <si>
    <t>SFD Proc Turn - with H</t>
  </si>
  <si>
    <t>GBUJO</t>
  </si>
  <si>
    <t>GBASW</t>
  </si>
  <si>
    <t>Rabson</t>
  </si>
  <si>
    <t>CPL 1</t>
  </si>
  <si>
    <t>Gwilliam</t>
  </si>
  <si>
    <t>CPL 2/3</t>
  </si>
  <si>
    <t>CPL 4</t>
  </si>
  <si>
    <t>CPL 5</t>
  </si>
  <si>
    <t>Steep Turns</t>
  </si>
  <si>
    <t>SIM</t>
  </si>
  <si>
    <t>FR-142</t>
  </si>
  <si>
    <t>Local with Karen &amp; Paul</t>
  </si>
  <si>
    <t>Abandoned Landing @ Lydd</t>
  </si>
  <si>
    <t>IMC Proc turns, Revision 19a, b + VP Differences training, Signed</t>
  </si>
  <si>
    <t>VOR Tracking, 4 Holds, NDB App 21</t>
  </si>
  <si>
    <t>Frampton</t>
  </si>
  <si>
    <t>4 ILS, SRA (2 Asym) + LLC</t>
  </si>
  <si>
    <t>Yeovil, ILS @ SAM</t>
  </si>
  <si>
    <t>Alderney</t>
  </si>
  <si>
    <t>Gen Handling, NDB @ SOTON</t>
  </si>
  <si>
    <t>170A, Thred, BIA, YVL/NDB, Asym ILS SAM</t>
  </si>
  <si>
    <t>Whitehead</t>
  </si>
  <si>
    <t>IR Test -&gt; Cardiff. Partial</t>
  </si>
  <si>
    <t>4 * RAD VEC NDB</t>
  </si>
  <si>
    <t>ILS -&gt; Cov</t>
  </si>
  <si>
    <t>GBCCE</t>
  </si>
  <si>
    <t>PA23</t>
  </si>
  <si>
    <t>Type conversion with Terry</t>
  </si>
  <si>
    <t>Bad WX at Shoreham</t>
  </si>
  <si>
    <t>Red Vec NDB Retake.  PASS!</t>
  </si>
  <si>
    <t>With Neil</t>
  </si>
  <si>
    <t>Ex 6.1, 7, 8 J Hapnar</t>
  </si>
  <si>
    <t>N Hill</t>
  </si>
  <si>
    <t>LFAT</t>
  </si>
  <si>
    <t>EGHI</t>
  </si>
  <si>
    <t>Stalling</t>
  </si>
  <si>
    <t>Twin renewal with D. Pooley</t>
  </si>
  <si>
    <t>Rutherford</t>
  </si>
  <si>
    <t>Revision A. Balcombe, Stalling, Spiral Dives + 2+1</t>
  </si>
  <si>
    <t>PFL + Flapless</t>
  </si>
  <si>
    <t>EGHN</t>
  </si>
  <si>
    <t>T/L</t>
  </si>
  <si>
    <t>Ex 13 (2), 16.2 - Mike Savereux</t>
  </si>
  <si>
    <t>Ex 10.2, 16.2 - A Balcombe</t>
  </si>
  <si>
    <t>Back from Cardiff woth H</t>
  </si>
  <si>
    <t>With Chris Batt</t>
  </si>
  <si>
    <t>Count of Ttype</t>
  </si>
  <si>
    <t>GWARY</t>
  </si>
  <si>
    <t>EGNT</t>
  </si>
  <si>
    <t>J Hapnar, Ex 9</t>
  </si>
  <si>
    <t>Time:</t>
  </si>
  <si>
    <t>Count:</t>
  </si>
  <si>
    <t>EGLK</t>
  </si>
  <si>
    <t>Ex 20, Night Familiarisation, 5 + 1, Signed</t>
  </si>
  <si>
    <t>Proc Turn @ SFD, S Holds @ SHM, Proc for 21</t>
  </si>
  <si>
    <t>Local to west, proc turn at GWC, Low level CCt for 21</t>
  </si>
  <si>
    <t>GTFYN</t>
  </si>
  <si>
    <t>PA-32RT</t>
  </si>
  <si>
    <t>With H, Newcastle, Abandonded with Suction failure</t>
  </si>
  <si>
    <t>N8351W</t>
  </si>
  <si>
    <t>KMMV</t>
  </si>
  <si>
    <t>Adson, BIA (ILS), NDB SAM 1+1</t>
  </si>
  <si>
    <t>IR Renewal Partial, Thred, BIA - Partialed on NDB tracking</t>
  </si>
  <si>
    <t>Pre FIC Flight Test, Stalls, Steep turns etc</t>
  </si>
  <si>
    <t>GBTGU</t>
  </si>
  <si>
    <t>Holds GWC, IW and Asym to Soton</t>
  </si>
  <si>
    <t>Thred, BIA, Holds, ILS, Asym Soton</t>
  </si>
  <si>
    <t>SEP Skills Test - Signed</t>
  </si>
  <si>
    <t>Thred, BIA, Hold ILS, GA, Asym Soton</t>
  </si>
  <si>
    <t>Half Way to Teeside, H Flew second leg</t>
  </si>
  <si>
    <t>With H &amp; Danny - Flyout</t>
  </si>
  <si>
    <t>Operating
Capacity</t>
  </si>
  <si>
    <t>From</t>
  </si>
  <si>
    <t>To</t>
  </si>
  <si>
    <t>Morristown, Signed</t>
  </si>
  <si>
    <t>+ Slo Flight</t>
  </si>
  <si>
    <t>Attempted NDB @ SHM but ADF US</t>
  </si>
  <si>
    <t>Stephen &amp; Ollie</t>
  </si>
  <si>
    <t>Fly out + Abandoned trip to Poitiers</t>
  </si>
  <si>
    <t>Ex 10B, 12, 13, 15, 16 - Annual Checkout Terry</t>
  </si>
  <si>
    <t>Exeter</t>
  </si>
  <si>
    <t>Type Number</t>
  </si>
  <si>
    <t>Reg</t>
  </si>
  <si>
    <t>Type</t>
  </si>
  <si>
    <t>GLSMI</t>
  </si>
  <si>
    <t>C152</t>
  </si>
  <si>
    <t>S</t>
  </si>
  <si>
    <t>GBOIN</t>
  </si>
  <si>
    <t>GBPTF</t>
  </si>
  <si>
    <t>GBNNY</t>
  </si>
  <si>
    <t>PA28</t>
  </si>
  <si>
    <t>GBIEY</t>
  </si>
  <si>
    <t>Date</t>
  </si>
  <si>
    <t>Captain</t>
  </si>
  <si>
    <t>FIC Ex 7, 8.1 give back, 8.2 Give</t>
  </si>
  <si>
    <t>FIC 8.2 Give back, 10b1 give</t>
  </si>
  <si>
    <t>FIC Ex 6.1 Mutual to Adrian</t>
  </si>
  <si>
    <t>FIC Ex 10b1 Give back, 10b2 give</t>
  </si>
  <si>
    <t>Check Flight</t>
  </si>
  <si>
    <t>FIC Ex 4.1 Give to Heather</t>
  </si>
  <si>
    <t>FIC Ex 10B2 Give Back, Ex 12, 13 Give</t>
  </si>
  <si>
    <t>GBOCL</t>
  </si>
  <si>
    <t>T67C</t>
  </si>
  <si>
    <t>FIC Ex 11 Spinning</t>
  </si>
  <si>
    <t>FIC Ex 15 Give &amp; Give Back</t>
  </si>
  <si>
    <t>FIC Ex 11 Spinning  &amp; Incipient</t>
  </si>
  <si>
    <t>FIC Ex 12, 13 Give back 3+1 inc glide &amp; Flapless</t>
  </si>
  <si>
    <t>FIC Ex 17, 18b Give and Give back</t>
  </si>
  <si>
    <t>A Balcomb - Position fix plus Glide approach</t>
  </si>
  <si>
    <t>A. Balcomb - Good this time</t>
  </si>
  <si>
    <t>Check ride with Chris Batt</t>
    <phoneticPr fontId="0" type="noConversion"/>
  </si>
  <si>
    <t>Self</t>
    <phoneticPr fontId="0" type="noConversion"/>
  </si>
  <si>
    <t>Phil Stevens - Ex 4.1</t>
  </si>
  <si>
    <t>Hugh Tallini - Revision, Stalls, Steep Turns PFL</t>
  </si>
  <si>
    <t>With Dale</t>
  </si>
  <si>
    <t>Left door unlatched!!</t>
  </si>
  <si>
    <t>Flight plan didn’t arrive!</t>
  </si>
  <si>
    <t>With H, Jo &amp; Kevin</t>
  </si>
  <si>
    <t>IMC revision, 21 app * 3</t>
  </si>
  <si>
    <t>IMC renewal, 03 to land</t>
  </si>
  <si>
    <t>IMC Descent @ GWC</t>
  </si>
  <si>
    <t>Pick up Dale after accident in CZ</t>
  </si>
  <si>
    <t>Local with Gary</t>
  </si>
  <si>
    <t>Cardiff</t>
  </si>
  <si>
    <t>IFR Departure, Cancelled just before SAM</t>
  </si>
  <si>
    <t>Ian King - Ex 7+8(2) - Cut Short wx</t>
  </si>
  <si>
    <t>Heather - Check Ride</t>
  </si>
  <si>
    <t>N2149F</t>
  </si>
  <si>
    <t>EGHJ</t>
  </si>
  <si>
    <t>SEP Rating to Bembridge - 8+1</t>
  </si>
  <si>
    <t>FIC PFLS</t>
  </si>
  <si>
    <t xml:space="preserve">EGHB </t>
  </si>
  <si>
    <t xml:space="preserve">EGHG </t>
  </si>
  <si>
    <t xml:space="preserve">EGHN </t>
  </si>
  <si>
    <t xml:space="preserve">EGHO </t>
  </si>
  <si>
    <t xml:space="preserve">EGHP </t>
  </si>
  <si>
    <t xml:space="preserve">EGHR </t>
  </si>
  <si>
    <t xml:space="preserve">EGHS </t>
  </si>
  <si>
    <t xml:space="preserve">EGHT </t>
  </si>
  <si>
    <t xml:space="preserve">EGHU </t>
  </si>
  <si>
    <t xml:space="preserve">EGCJ </t>
  </si>
  <si>
    <t xml:space="preserve">EGCK </t>
  </si>
  <si>
    <t xml:space="preserve">EGCL </t>
  </si>
  <si>
    <t xml:space="preserve">EGCO </t>
  </si>
  <si>
    <t xml:space="preserve">EGCS </t>
  </si>
  <si>
    <t xml:space="preserve">EGCV </t>
  </si>
  <si>
    <t xml:space="preserve">EGCW </t>
  </si>
  <si>
    <t xml:space="preserve">EGDC </t>
  </si>
  <si>
    <t xml:space="preserve">EGDM </t>
  </si>
  <si>
    <t>ADSON, YUL, BIA, SAM RAD Vec ILS + NDB</t>
  </si>
  <si>
    <t>A25 Bristol NDB, Adson, Sam, Rad ILS</t>
  </si>
  <si>
    <t>Asym drills, Rad vec ILS</t>
  </si>
  <si>
    <t>Local with H</t>
  </si>
  <si>
    <t>ILS Bournemounth, Proc ILS Soton</t>
  </si>
  <si>
    <t>N Route (R41, G1), Filton 27 ILS</t>
  </si>
  <si>
    <t>ME/SE 3/4 Holds + ILS</t>
  </si>
  <si>
    <t>Local + Signed</t>
  </si>
  <si>
    <t>MEP Renewal</t>
  </si>
  <si>
    <t>NDB Tracking</t>
  </si>
  <si>
    <t>VOR Holds</t>
  </si>
  <si>
    <t>VOR Holds + MAP</t>
  </si>
  <si>
    <t>NDB Holds + Approach</t>
  </si>
  <si>
    <t>With H</t>
  </si>
  <si>
    <t>NDB Holds + App to 03</t>
  </si>
  <si>
    <t xml:space="preserve">Advanced Effects of Controls!!! - Low Level </t>
  </si>
  <si>
    <t>Abandoned flight to Gloucester, Plymouth</t>
  </si>
  <si>
    <t>Holds at BIA, Proc ILS to 08, R Vec ILS to 08, Signed</t>
  </si>
  <si>
    <t>SRA + Rad Vec ILS @ Dunsfolds, Signed</t>
  </si>
  <si>
    <t>GAWSM</t>
  </si>
  <si>
    <t>PA28-235</t>
  </si>
  <si>
    <t>Differences Training</t>
  </si>
  <si>
    <t>GBUIK</t>
  </si>
  <si>
    <t>A. Balcombe Ex 18a</t>
  </si>
  <si>
    <t>C. Bishop, Ex 18a, P'Field, Bembridge</t>
  </si>
  <si>
    <t>J Hapnar, Ex 6.1</t>
  </si>
  <si>
    <t>EGFF</t>
  </si>
  <si>
    <t>A Balcombe - Abandoned Blackbushe</t>
  </si>
  <si>
    <t>Self</t>
    <phoneticPr fontId="0" type="noConversion"/>
  </si>
  <si>
    <t>Self</t>
    <phoneticPr fontId="0" type="noConversion"/>
  </si>
  <si>
    <t>A. Balcombe Ex 18a, Blackbushe via Basingstoke</t>
  </si>
  <si>
    <t>D. Nice, Ex 18a, Lydd</t>
  </si>
  <si>
    <t>Ex 12, 13 - Xwind Wheelers</t>
  </si>
  <si>
    <t>Ex 16.1 - Andy Balcombe</t>
  </si>
  <si>
    <t>Ex 9 - J Hapnar</t>
  </si>
  <si>
    <t>Ex 16.1,2 - G Marshall, Check Flight</t>
  </si>
  <si>
    <t>EXTRA</t>
  </si>
  <si>
    <t>GIIEX</t>
  </si>
  <si>
    <t>Ex 19 A Balcomb</t>
  </si>
  <si>
    <t>Ex 8/9 J Hapnar - Abandoned</t>
  </si>
  <si>
    <t>ILS 25</t>
  </si>
  <si>
    <t>S200 on departure</t>
  </si>
  <si>
    <t>6+1</t>
  </si>
  <si>
    <t>8+1 Wheelers</t>
  </si>
  <si>
    <t>With Rene</t>
  </si>
  <si>
    <t>GBMOE</t>
  </si>
  <si>
    <t>PA28R</t>
  </si>
  <si>
    <t>CPL GH Steep turns, stalls &amp; Circuits</t>
  </si>
  <si>
    <t>CPL GH, CCTS Flappless = PFL</t>
  </si>
  <si>
    <t>ILS -&gt; Deaville</t>
  </si>
  <si>
    <t>Nav Cuckfield + Steep turns</t>
  </si>
  <si>
    <t>Woosh!!!</t>
  </si>
  <si>
    <t>8+1 Xwind 25</t>
  </si>
  <si>
    <t>Ex 21 Loops &amp; Rolls</t>
  </si>
  <si>
    <t>7+1 + loop!</t>
  </si>
  <si>
    <t>Ex 21 Loops &amp; Rolls + Barrel Roll</t>
  </si>
  <si>
    <t>Ex 21</t>
  </si>
  <si>
    <t>Chris Bishop Revision</t>
  </si>
  <si>
    <t>Trial Lesson - Breitling</t>
  </si>
  <si>
    <t>Dan Nice, Hazelmere, Petersfield</t>
  </si>
  <si>
    <t>A Balcombe - Revision</t>
  </si>
  <si>
    <t>J Hapner 6.1, 6.2, 7, 8</t>
  </si>
  <si>
    <t>Compass Turns</t>
  </si>
  <si>
    <t>GBOKB</t>
    <phoneticPr fontId="0" type="noConversion"/>
  </si>
  <si>
    <t>IMC &amp; Carb Ice</t>
  </si>
  <si>
    <t># Flights</t>
  </si>
  <si>
    <t>2 Holds, PILS + R ILS, McKinnon</t>
  </si>
  <si>
    <t>2 T+G @ Lydd</t>
  </si>
  <si>
    <t>Abandoned IFR to Chambery (Transponder)</t>
  </si>
  <si>
    <t>GBYMD</t>
  </si>
  <si>
    <t>PA38</t>
  </si>
  <si>
    <t>FIC, Ex 4.1 4.2 Give Ex5</t>
  </si>
  <si>
    <t>Airways</t>
  </si>
  <si>
    <t>FIC Ex 4.2 Give Back, Ex 6.1 Give</t>
  </si>
  <si>
    <t>FIC, Ex 4.1 GiveBack  Ex5</t>
  </si>
  <si>
    <t>Trial Lesson</t>
  </si>
  <si>
    <t>Ex 15 A. Balcombe</t>
  </si>
  <si>
    <t>Ex 7,8 - J Hapnar</t>
  </si>
  <si>
    <t>EGHR</t>
  </si>
  <si>
    <t>A. Balcomb</t>
  </si>
  <si>
    <t>Check Ride</t>
  </si>
  <si>
    <t>GOPUK</t>
  </si>
  <si>
    <t>GOPUK</t>
    <phoneticPr fontId="0" type="noConversion"/>
  </si>
  <si>
    <t>PA28</t>
    <phoneticPr fontId="0" type="noConversion"/>
  </si>
  <si>
    <t>S</t>
    <phoneticPr fontId="0" type="noConversion"/>
  </si>
  <si>
    <t>GOPUK</t>
    <phoneticPr fontId="0" type="noConversion"/>
  </si>
  <si>
    <t>Batt</t>
  </si>
  <si>
    <t>Batt</t>
    <phoneticPr fontId="0" type="noConversion"/>
  </si>
  <si>
    <t>EGKA</t>
    <phoneticPr fontId="0" type="noConversion"/>
  </si>
  <si>
    <t>GBNEL</t>
  </si>
  <si>
    <t>Radio Failure on return</t>
  </si>
  <si>
    <t>Belgian Tour, left to get out of Airshow</t>
  </si>
  <si>
    <t>Returned overhead Napton</t>
  </si>
  <si>
    <t>Abandoned flight to Fairoaks, long hold for 07</t>
  </si>
  <si>
    <t>Sam &amp; H, Haze in channel</t>
  </si>
  <si>
    <t>2 holds + 21 proc</t>
  </si>
  <si>
    <t>Bad WX Divert via SAM and the coast</t>
  </si>
  <si>
    <t>Isle of W, Petersfield</t>
  </si>
  <si>
    <t>Local, H &amp; Warren</t>
  </si>
  <si>
    <t>Local , Warren</t>
  </si>
  <si>
    <t>IMC + RAD Vec ILS with H</t>
  </si>
  <si>
    <t>GHCSL</t>
  </si>
  <si>
    <t>FIC Ex 6.1 Give Back, 6.2 Give</t>
  </si>
  <si>
    <t>FIC Ex 6.2 Give back, 7, 8.1 Give</t>
  </si>
  <si>
    <t>Aborted flight to Weston - Fuel Cap popped</t>
  </si>
  <si>
    <t>Dublin ILS 26</t>
  </si>
  <si>
    <t>Gould</t>
  </si>
  <si>
    <t>Thred, BIA (ILS) + Gen Handling + MEP renewal</t>
  </si>
  <si>
    <t>from overhead + circuits</t>
  </si>
  <si>
    <t>Martin - 1+1</t>
  </si>
  <si>
    <t>LFOP</t>
  </si>
  <si>
    <t>Return from Rouen</t>
  </si>
  <si>
    <t>Phil Stevens - Ex 4.2</t>
  </si>
  <si>
    <t>Aberdeen (Culter Helipad)</t>
  </si>
  <si>
    <t>Aberdeen, Scotland</t>
  </si>
  <si>
    <t>EGEA</t>
    <phoneticPr fontId="2" type="noConversion"/>
  </si>
  <si>
    <t>St Mawgan, Cornwall, England</t>
  </si>
  <si>
    <t>EGHQ</t>
    <phoneticPr fontId="2" type="noConversion"/>
  </si>
  <si>
    <t xml:space="preserve">EGST </t>
  </si>
  <si>
    <t xml:space="preserve">EGSV </t>
  </si>
  <si>
    <t xml:space="preserve">EGSX </t>
  </si>
  <si>
    <t xml:space="preserve">EGTB </t>
  </si>
  <si>
    <t xml:space="preserve">EGTC </t>
  </si>
  <si>
    <t xml:space="preserve">EGTD </t>
  </si>
  <si>
    <t xml:space="preserve">EGTF </t>
  </si>
  <si>
    <t xml:space="preserve">EGTP </t>
  </si>
  <si>
    <t xml:space="preserve">EGTU </t>
  </si>
  <si>
    <t xml:space="preserve">EGTW </t>
  </si>
  <si>
    <t xml:space="preserve">EGUO </t>
  </si>
  <si>
    <t xml:space="preserve">EGUW </t>
  </si>
  <si>
    <t xml:space="preserve">EGVP </t>
  </si>
  <si>
    <t xml:space="preserve">EGWC </t>
  </si>
  <si>
    <t xml:space="preserve">EGWE </t>
  </si>
  <si>
    <t xml:space="preserve">EGWN </t>
  </si>
  <si>
    <t xml:space="preserve">EGPJ </t>
  </si>
  <si>
    <t xml:space="preserve">EGQM </t>
  </si>
  <si>
    <t xml:space="preserve">EGSA </t>
  </si>
  <si>
    <t xml:space="preserve">EGSB </t>
  </si>
  <si>
    <t xml:space="preserve">EGSD </t>
  </si>
  <si>
    <t xml:space="preserve">EGSG </t>
  </si>
  <si>
    <t xml:space="preserve">EGSJ </t>
  </si>
  <si>
    <t xml:space="preserve">EGSK </t>
  </si>
  <si>
    <t xml:space="preserve">EGSL </t>
  </si>
  <si>
    <t xml:space="preserve">EGSM </t>
  </si>
  <si>
    <t xml:space="preserve">EGSN </t>
  </si>
  <si>
    <t xml:space="preserve">EGSO </t>
  </si>
  <si>
    <t xml:space="preserve">EGSP </t>
  </si>
  <si>
    <t xml:space="preserve">EGSQ </t>
  </si>
  <si>
    <t xml:space="preserve">EGSR </t>
  </si>
  <si>
    <t xml:space="preserve">EGNB </t>
  </si>
  <si>
    <t xml:space="preserve">EGNF </t>
  </si>
  <si>
    <t xml:space="preserve">EGNO </t>
  </si>
  <si>
    <t xml:space="preserve">EGNU </t>
  </si>
  <si>
    <t xml:space="preserve">EGNW </t>
  </si>
  <si>
    <t xml:space="preserve">EGNY </t>
  </si>
  <si>
    <t xml:space="preserve">EGOD </t>
  </si>
  <si>
    <t xml:space="preserve">EGOE </t>
  </si>
  <si>
    <t xml:space="preserve">EGOQ </t>
  </si>
  <si>
    <t xml:space="preserve">EGOS </t>
  </si>
  <si>
    <t xml:space="preserve">EGOW </t>
  </si>
  <si>
    <t xml:space="preserve">EGPG </t>
  </si>
  <si>
    <t xml:space="preserve">EGHY </t>
  </si>
  <si>
    <t xml:space="preserve">EGKE </t>
  </si>
  <si>
    <t xml:space="preserve">EGKG </t>
  </si>
  <si>
    <t xml:space="preserve">EGKH </t>
  </si>
  <si>
    <t xml:space="preserve">EGLA </t>
  </si>
  <si>
    <t xml:space="preserve">EGLD </t>
  </si>
  <si>
    <t xml:space="preserve">EGLG </t>
  </si>
  <si>
    <t xml:space="preserve">EGLJ </t>
  </si>
  <si>
    <t xml:space="preserve">EGLM </t>
  </si>
  <si>
    <t xml:space="preserve">EGLS </t>
  </si>
  <si>
    <t xml:space="preserve">EGLT </t>
  </si>
  <si>
    <t xml:space="preserve">EGLW </t>
  </si>
  <si>
    <t xml:space="preserve">EGMA </t>
  </si>
  <si>
    <t xml:space="preserve">EGMJ </t>
  </si>
  <si>
    <t xml:space="preserve">EGML </t>
  </si>
  <si>
    <t xml:space="preserve">EGNA </t>
  </si>
  <si>
    <t xml:space="preserve">EGFA </t>
  </si>
  <si>
    <t xml:space="preserve">EGFC </t>
  </si>
  <si>
    <t xml:space="preserve">EGFP </t>
  </si>
  <si>
    <t xml:space="preserve">EGHA </t>
  </si>
  <si>
    <t>Wilton</t>
  </si>
  <si>
    <t>Check flight</t>
  </si>
  <si>
    <t>Check Signed off</t>
  </si>
  <si>
    <t>Airways + 20 App</t>
  </si>
  <si>
    <t>IR Ex 1</t>
  </si>
  <si>
    <t>Marshall</t>
  </si>
  <si>
    <t>IR Ex 2</t>
  </si>
  <si>
    <t>IR Ex 3</t>
  </si>
  <si>
    <t>IR Ex 4</t>
  </si>
  <si>
    <t>IR Ex 5</t>
  </si>
  <si>
    <t>IR Ex 6</t>
  </si>
  <si>
    <t>IR Ex 8</t>
  </si>
  <si>
    <t>Return flight - PFL to land  over shoreham</t>
  </si>
  <si>
    <t>Aborted trup to Isle de Yeu</t>
  </si>
  <si>
    <t>I With Dave Lawrence</t>
  </si>
  <si>
    <t>East</t>
  </si>
  <si>
    <t>Thred Bia ILS NDB GH, PP</t>
  </si>
  <si>
    <t>As above no PP</t>
  </si>
  <si>
    <t>Solo!!</t>
  </si>
  <si>
    <t>LFQA</t>
  </si>
  <si>
    <t>With Mark and Sam</t>
  </si>
  <si>
    <t>GBUJP</t>
  </si>
  <si>
    <t>Soton VOR/DME 02, NDB/DME 02</t>
  </si>
  <si>
    <t>Cardiff via Exmor, ILS 30</t>
  </si>
  <si>
    <t>Exeter via Adson, Partial</t>
  </si>
  <si>
    <t>Bia via THRED, 2 ILS, General Handling</t>
  </si>
  <si>
    <t>D Nice Ex 12,13 1+1</t>
  </si>
  <si>
    <t>IMC Practice Southend, NDB + ILS - H Safety</t>
  </si>
  <si>
    <t>IMC Renewal with Mark - NDB 02 + LLC to 20</t>
  </si>
  <si>
    <t>Ttype</t>
  </si>
  <si>
    <t>xxx</t>
  </si>
  <si>
    <t>xxy</t>
  </si>
  <si>
    <t>Flying</t>
  </si>
  <si>
    <t>Sim</t>
  </si>
  <si>
    <t>Count</t>
  </si>
  <si>
    <t>Flight Time</t>
  </si>
  <si>
    <t>Grand Total</t>
  </si>
  <si>
    <t>Sum of Flight Time</t>
  </si>
  <si>
    <t>Engines</t>
  </si>
  <si>
    <t>S Total</t>
  </si>
  <si>
    <t>T Total</t>
  </si>
  <si>
    <t>EGMD</t>
  </si>
  <si>
    <t>Robin Hood Airport Doncaster Sheffield</t>
  </si>
  <si>
    <t>South Yorkshire, England</t>
  </si>
  <si>
    <t>Southport Birkdale Sands Airport</t>
  </si>
  <si>
    <t>Southport, England</t>
  </si>
  <si>
    <t>Sturgate Airfield</t>
  </si>
  <si>
    <t>Lincoln, England</t>
  </si>
  <si>
    <t>Sleap Airfield</t>
  </si>
  <si>
    <t>Shrewsbury, England</t>
  </si>
  <si>
    <t>Welshpool Airport</t>
  </si>
  <si>
    <t>Where</t>
    <phoneticPr fontId="2" type="noConversion"/>
  </si>
  <si>
    <t>Upper Bucklebury - England</t>
  </si>
  <si>
    <t>Lympne, England</t>
  </si>
  <si>
    <t>Thurrock Aerodrome</t>
  </si>
  <si>
    <t>Thurrock, England</t>
  </si>
  <si>
    <t>Enstone Airfield</t>
  </si>
  <si>
    <t>Enstone, England</t>
  </si>
  <si>
    <t>EGTN</t>
    <phoneticPr fontId="2" type="noConversion"/>
  </si>
  <si>
    <t>EGMT</t>
    <phoneticPr fontId="2" type="noConversion"/>
  </si>
  <si>
    <t>EGMK</t>
    <phoneticPr fontId="2" type="noConversion"/>
  </si>
  <si>
    <t>EGLP</t>
    <phoneticPr fontId="2" type="noConversion"/>
  </si>
  <si>
    <t xml:space="preserve">EGAA </t>
  </si>
  <si>
    <t xml:space="preserve">EGAB </t>
  </si>
  <si>
    <t xml:space="preserve">EGAC </t>
  </si>
  <si>
    <t xml:space="preserve">EGAE </t>
  </si>
  <si>
    <t xml:space="preserve">EGBB </t>
  </si>
  <si>
    <t xml:space="preserve">EGBE </t>
  </si>
  <si>
    <t xml:space="preserve">EGBJ </t>
  </si>
  <si>
    <t xml:space="preserve">EGBK </t>
  </si>
  <si>
    <t xml:space="preserve">EGBN </t>
  </si>
  <si>
    <t xml:space="preserve">EGCC </t>
  </si>
  <si>
    <t xml:space="preserve">EGCN </t>
  </si>
  <si>
    <t xml:space="preserve">EGDJ </t>
  </si>
  <si>
    <t xml:space="preserve">EGDL </t>
  </si>
  <si>
    <t xml:space="preserve">EGDX </t>
  </si>
  <si>
    <t xml:space="preserve">EGDY </t>
  </si>
  <si>
    <t xml:space="preserve">EGEC </t>
  </si>
  <si>
    <t xml:space="preserve">EGED </t>
  </si>
  <si>
    <t xml:space="preserve">EGEF </t>
  </si>
  <si>
    <t xml:space="preserve">EGEH </t>
  </si>
  <si>
    <t xml:space="preserve">EGEN </t>
  </si>
  <si>
    <t xml:space="preserve">EGEO </t>
  </si>
  <si>
    <t xml:space="preserve">EGEP </t>
  </si>
  <si>
    <t xml:space="preserve">EGER </t>
  </si>
  <si>
    <t xml:space="preserve">EGES </t>
  </si>
  <si>
    <t xml:space="preserve">EGET </t>
  </si>
  <si>
    <t xml:space="preserve">EGEW </t>
  </si>
  <si>
    <t xml:space="preserve">EGFE </t>
  </si>
  <si>
    <t xml:space="preserve">EGFF </t>
  </si>
  <si>
    <t xml:space="preserve">EGFH </t>
  </si>
  <si>
    <t xml:space="preserve">EGGD </t>
  </si>
  <si>
    <t xml:space="preserve">EGGP </t>
  </si>
  <si>
    <t xml:space="preserve">EGGW </t>
  </si>
  <si>
    <t xml:space="preserve">EGHC </t>
  </si>
  <si>
    <t xml:space="preserve">EGHD </t>
  </si>
  <si>
    <t xml:space="preserve">EGHE </t>
  </si>
  <si>
    <t xml:space="preserve">EGHH </t>
  </si>
  <si>
    <t xml:space="preserve">EGHI </t>
  </si>
  <si>
    <t xml:space="preserve">EGHJ </t>
  </si>
  <si>
    <t xml:space="preserve">EGHK </t>
  </si>
  <si>
    <t xml:space="preserve">EGHL </t>
  </si>
  <si>
    <t xml:space="preserve">EGJA </t>
  </si>
  <si>
    <t xml:space="preserve">EGJB </t>
  </si>
  <si>
    <t xml:space="preserve">EGJJ </t>
  </si>
  <si>
    <t xml:space="preserve">EGKA </t>
  </si>
  <si>
    <t>NDB 20 Asym</t>
  </si>
  <si>
    <t>IR Renewal - Pass</t>
  </si>
  <si>
    <t xml:space="preserve">FIC Ex9 Give, Ex 5 </t>
  </si>
  <si>
    <t>Abandoned VFR to Chambery (Transponder)</t>
  </si>
  <si>
    <t>Bristol International Airport</t>
  </si>
  <si>
    <t>Bristol, England</t>
  </si>
  <si>
    <t>Liverpool John Lennon Airport</t>
  </si>
  <si>
    <t>Liverpool, England</t>
  </si>
  <si>
    <t>London Luton Airport</t>
  </si>
  <si>
    <t>London, England</t>
  </si>
  <si>
    <t>Compton Abbas Airfield</t>
  </si>
  <si>
    <t>Shaftesbury, England</t>
  </si>
  <si>
    <t>Maypole Airfield</t>
  </si>
  <si>
    <t>Maypole, Kent, England</t>
  </si>
  <si>
    <t>Land's End Airport</t>
  </si>
  <si>
    <t>St Just in Penwith, England</t>
  </si>
  <si>
    <t>Plymouth City Airport</t>
  </si>
  <si>
    <t>Plymouth, England</t>
  </si>
  <si>
    <t>St. Mary's Airport</t>
  </si>
  <si>
    <t>St. Mary's, England</t>
  </si>
  <si>
    <t>EGKA</t>
    <phoneticPr fontId="0" type="noConversion"/>
  </si>
  <si>
    <t>EGCV</t>
    <phoneticPr fontId="0" type="noConversion"/>
  </si>
  <si>
    <t>Self</t>
    <phoneticPr fontId="0" type="noConversion"/>
  </si>
  <si>
    <t>Shower avoidance!!</t>
    <phoneticPr fontId="0" type="noConversion"/>
  </si>
  <si>
    <t>EGHJ</t>
    <phoneticPr fontId="0" type="noConversion"/>
  </si>
  <si>
    <t>EGHJ</t>
    <phoneticPr fontId="0" type="noConversion"/>
  </si>
  <si>
    <t>Lunch at the Propellor with H</t>
    <phoneticPr fontId="0" type="noConversion"/>
  </si>
  <si>
    <t>Aeros with Stu McKinnon</t>
  </si>
  <si>
    <t>LFOD</t>
  </si>
  <si>
    <t>LFLW</t>
  </si>
  <si>
    <t>Aurilliac to Saumur</t>
  </si>
  <si>
    <t>LFRG</t>
  </si>
  <si>
    <t>Stormscope!!</t>
  </si>
  <si>
    <t>Paul Millwright - Local + 1 + 1</t>
  </si>
  <si>
    <t>Pre Qual with Andy Balcomb!  Bad!</t>
  </si>
  <si>
    <t>Andy Balcome - Navex Gravesend + divert + stall</t>
  </si>
  <si>
    <t>Belfast International Airport</t>
  </si>
  <si>
    <t>Belfast, Northern Ireland</t>
  </si>
  <si>
    <t>Enniskillen/St Angelo Airport</t>
  </si>
  <si>
    <t>Enniskillen, Northern Ireland</t>
  </si>
  <si>
    <t>George Best Belfast City Airport</t>
  </si>
  <si>
    <t>Newtownards Airport</t>
  </si>
  <si>
    <t>Newtownards, Northern Ireland</t>
  </si>
  <si>
    <t>City of Derry Airport</t>
  </si>
  <si>
    <t>Derry, Northern Ireland</t>
  </si>
  <si>
    <t>Birmingham International Airport</t>
  </si>
  <si>
    <t>Birmingham, England</t>
  </si>
  <si>
    <t>Cheltenham Racecourse Heliport</t>
  </si>
  <si>
    <t>Cheltenham Racecourse, England</t>
  </si>
  <si>
    <t>Derby Airfield</t>
  </si>
  <si>
    <t>Derby, England</t>
  </si>
  <si>
    <t>Coventry Airport</t>
  </si>
  <si>
    <t>Coventry, England</t>
  </si>
  <si>
    <t>Leicester Airport</t>
  </si>
  <si>
    <t>Leicester, England</t>
  </si>
  <si>
    <t>Gloucestershire Airport</t>
  </si>
  <si>
    <t>Staverton, England</t>
  </si>
  <si>
    <t>Sywell Aerodrome</t>
  </si>
  <si>
    <t>Northampton, England</t>
  </si>
  <si>
    <t>Tatenhill Airfield</t>
  </si>
  <si>
    <t>Tatenhill, England</t>
  </si>
  <si>
    <t>Nottingham Airport</t>
  </si>
  <si>
    <t xml:space="preserve">EGDN </t>
  </si>
  <si>
    <t xml:space="preserve">EGDO </t>
  </si>
  <si>
    <t xml:space="preserve">EGDP </t>
  </si>
  <si>
    <t xml:space="preserve">EGDR </t>
  </si>
  <si>
    <t xml:space="preserve">EGDS </t>
  </si>
  <si>
    <t xml:space="preserve">EGDT </t>
  </si>
  <si>
    <t xml:space="preserve">EGDV </t>
  </si>
  <si>
    <t xml:space="preserve">EGDW </t>
  </si>
  <si>
    <t xml:space="preserve">EGAD </t>
  </si>
  <si>
    <t xml:space="preserve">EGBC </t>
  </si>
  <si>
    <t xml:space="preserve">EGBD </t>
  </si>
  <si>
    <t xml:space="preserve">EGBG </t>
  </si>
  <si>
    <t xml:space="preserve">EGBM </t>
  </si>
  <si>
    <t xml:space="preserve">EGBO </t>
  </si>
  <si>
    <t xml:space="preserve">EGBP </t>
  </si>
  <si>
    <t xml:space="preserve">EGBS </t>
  </si>
  <si>
    <t xml:space="preserve">EGBT </t>
  </si>
  <si>
    <t xml:space="preserve">EGBV </t>
  </si>
  <si>
    <t xml:space="preserve">EGBW </t>
  </si>
  <si>
    <t xml:space="preserve">EGCB </t>
  </si>
  <si>
    <t xml:space="preserve">EGCD </t>
  </si>
  <si>
    <t xml:space="preserve">EGCF </t>
  </si>
  <si>
    <t xml:space="preserve">EGCG </t>
  </si>
  <si>
    <t>Via Channel Islands</t>
  </si>
  <si>
    <t>Transponder &amp; Gear left down!!  Reroute via GWC and SAM</t>
  </si>
  <si>
    <t>2+1</t>
  </si>
  <si>
    <t>Check ride with Heather</t>
  </si>
  <si>
    <t>GGDMW</t>
  </si>
  <si>
    <t>BE76</t>
  </si>
  <si>
    <t>St Neots, England</t>
  </si>
  <si>
    <t>Lympne Airport</t>
  </si>
  <si>
    <t>Damyns Hall Aerodrome</t>
  </si>
  <si>
    <t>Welshpool, Wales</t>
  </si>
  <si>
    <t>Royal Marines Base Chivenor</t>
  </si>
  <si>
    <t>Braunton, England</t>
  </si>
  <si>
    <t>Upavon Airfield</t>
  </si>
  <si>
    <t>Upavon, England</t>
  </si>
  <si>
    <t>RAF Lyneham</t>
  </si>
  <si>
    <t>Wiltshire, England</t>
  </si>
  <si>
    <t>MoD Boscombe Down</t>
  </si>
  <si>
    <t>Amesbury, England</t>
  </si>
  <si>
    <t>Airfield Camp Netheravon</t>
  </si>
  <si>
    <t>Netheravon, England</t>
  </si>
  <si>
    <t>RNAS Predannack</t>
  </si>
  <si>
    <t>Mullion, England</t>
  </si>
  <si>
    <t>RNAS Portland Heliport</t>
  </si>
  <si>
    <t>Hold &amp; Approaches @ Southend</t>
  </si>
  <si>
    <t>EGWB</t>
  </si>
  <si>
    <t>GVIVM</t>
  </si>
  <si>
    <t>JP5A</t>
  </si>
  <si>
    <t>A Hill</t>
  </si>
  <si>
    <t>Manchester Airport</t>
  </si>
  <si>
    <t>Woodford Aerodrome</t>
  </si>
  <si>
    <t>Stockport, England</t>
  </si>
  <si>
    <t>Sandtoft Airfield</t>
  </si>
  <si>
    <t>Scunthorpe, England</t>
  </si>
  <si>
    <t>Strubby Airfield</t>
  </si>
  <si>
    <t>Strubby, England</t>
  </si>
  <si>
    <t>Sherburn-in-Elmet Airfield</t>
  </si>
  <si>
    <t>Sherburn-in-Elmet, England</t>
  </si>
  <si>
    <t>Caernarfon Airport</t>
  </si>
  <si>
    <t>Caernarfon, Wales</t>
  </si>
  <si>
    <t>Fenland Airfield</t>
  </si>
  <si>
    <t>Spalding, England</t>
  </si>
  <si>
    <t>Eday Airport</t>
  </si>
  <si>
    <t>Eday, Scotland</t>
  </si>
  <si>
    <t>Fair Isle Airport</t>
  </si>
  <si>
    <t>Fair Isle, Scotland</t>
  </si>
  <si>
    <t>Whalsay Airport</t>
  </si>
  <si>
    <t>Whalsay, Scotland</t>
  </si>
  <si>
    <t>North Ronaldsay Airport</t>
  </si>
  <si>
    <t>North Ronaldsay, Scotland</t>
  </si>
  <si>
    <t>Oban Airport</t>
  </si>
  <si>
    <t>Oban, Scotland</t>
  </si>
  <si>
    <t>Papa Westray Airport</t>
  </si>
  <si>
    <t>Papa Westray, Scotland</t>
  </si>
  <si>
    <t>Stronsay Airport</t>
  </si>
  <si>
    <t>Stronsay, Scotland</t>
  </si>
  <si>
    <t>Sanday Airport</t>
  </si>
  <si>
    <t>Sanday, Scotland</t>
  </si>
  <si>
    <t>Tingwall Airport</t>
  </si>
  <si>
    <t>Lerwick, Scotland</t>
  </si>
  <si>
    <t>Westray Airport</t>
  </si>
  <si>
    <t>Westray, Scotland</t>
  </si>
  <si>
    <t xml:space="preserve">EGKB </t>
  </si>
  <si>
    <t xml:space="preserve">EGKK </t>
  </si>
  <si>
    <t xml:space="preserve">EGKR </t>
  </si>
  <si>
    <t xml:space="preserve">EGLC </t>
  </si>
  <si>
    <t xml:space="preserve">EGLF </t>
  </si>
  <si>
    <t xml:space="preserve">EGLK </t>
  </si>
  <si>
    <t xml:space="preserve">EGLL </t>
  </si>
  <si>
    <t xml:space="preserve">EGMC </t>
  </si>
  <si>
    <t xml:space="preserve">EGMD </t>
  </si>
  <si>
    <t xml:space="preserve">EGMH </t>
  </si>
  <si>
    <t xml:space="preserve">EGNC </t>
  </si>
  <si>
    <t xml:space="preserve">EGNE </t>
  </si>
  <si>
    <t xml:space="preserve">EGNH </t>
  </si>
  <si>
    <t xml:space="preserve">EGNJ </t>
  </si>
  <si>
    <t xml:space="preserve">EGNL </t>
  </si>
  <si>
    <t xml:space="preserve">EGNM </t>
  </si>
  <si>
    <t xml:space="preserve">EGNR </t>
  </si>
  <si>
    <t xml:space="preserve">EGNS </t>
  </si>
  <si>
    <t xml:space="preserve">EGNT </t>
  </si>
  <si>
    <t xml:space="preserve">EGNV </t>
  </si>
  <si>
    <t xml:space="preserve">EGNX </t>
  </si>
  <si>
    <t xml:space="preserve">EGOV </t>
  </si>
  <si>
    <t xml:space="preserve">EGPA </t>
  </si>
  <si>
    <t xml:space="preserve">EGPB </t>
  </si>
  <si>
    <t xml:space="preserve">EGPC </t>
  </si>
  <si>
    <t xml:space="preserve">EGPD </t>
  </si>
  <si>
    <t xml:space="preserve">EGPE </t>
  </si>
  <si>
    <t xml:space="preserve">EGPF </t>
  </si>
  <si>
    <t xml:space="preserve">EGPH </t>
  </si>
  <si>
    <t xml:space="preserve">EGPI </t>
  </si>
  <si>
    <t xml:space="preserve">EGPK </t>
  </si>
  <si>
    <t xml:space="preserve">EGPL </t>
  </si>
  <si>
    <t xml:space="preserve">EGPM </t>
  </si>
  <si>
    <t xml:space="preserve">EGPN </t>
  </si>
  <si>
    <t xml:space="preserve">EGPO </t>
  </si>
  <si>
    <t xml:space="preserve">EGPR </t>
  </si>
  <si>
    <t xml:space="preserve">EGPT </t>
  </si>
  <si>
    <t xml:space="preserve">EGPU </t>
  </si>
  <si>
    <t xml:space="preserve">EGQK </t>
  </si>
  <si>
    <t xml:space="preserve">EGQL </t>
  </si>
  <si>
    <t xml:space="preserve">EGQS </t>
  </si>
  <si>
    <t xml:space="preserve">EGSC </t>
  </si>
  <si>
    <t xml:space="preserve">EGSF </t>
  </si>
  <si>
    <t xml:space="preserve">EGSH </t>
  </si>
  <si>
    <t xml:space="preserve">EGSS </t>
  </si>
  <si>
    <t xml:space="preserve">EGSU </t>
  </si>
  <si>
    <t xml:space="preserve">EGXD </t>
  </si>
  <si>
    <t xml:space="preserve">EGXE </t>
  </si>
  <si>
    <t xml:space="preserve">EGXG </t>
  </si>
  <si>
    <t xml:space="preserve">EGXT </t>
  </si>
  <si>
    <t xml:space="preserve">EGXY </t>
  </si>
  <si>
    <t xml:space="preserve">EGXZ </t>
  </si>
  <si>
    <t xml:space="preserve">EGYD </t>
  </si>
  <si>
    <t xml:space="preserve">EGYE </t>
  </si>
  <si>
    <t>Aiport</t>
  </si>
  <si>
    <t>Pembrey Airport</t>
  </si>
  <si>
    <t>Pembrey, Wales</t>
  </si>
  <si>
    <t>Popham Airfield</t>
  </si>
  <si>
    <t>Popham, England</t>
  </si>
  <si>
    <t>Newquay Cornwall Airport</t>
  </si>
  <si>
    <t>Chichester (Goodwood) Airfield</t>
  </si>
  <si>
    <t>Chichester, West Sussex, England</t>
  </si>
  <si>
    <t>Henstridge Airfield</t>
  </si>
  <si>
    <t>Henstridge, England</t>
  </si>
  <si>
    <t>Tresco Heliport</t>
  </si>
  <si>
    <t>Tresco, England</t>
  </si>
  <si>
    <t>Eaglescott Airfield</t>
  </si>
  <si>
    <t>Great Torrington, England</t>
  </si>
  <si>
    <t>Truro Aerodrome</t>
  </si>
  <si>
    <t>Truro, England</t>
  </si>
  <si>
    <t>Alderney Airport</t>
  </si>
  <si>
    <t>Alderney, Channel Islands</t>
  </si>
  <si>
    <t>Guernsey Airport</t>
  </si>
  <si>
    <t>Yeovil/Westland Airport</t>
  </si>
  <si>
    <t>Bournemouth Airport</t>
  </si>
  <si>
    <t>Bournemouth, England</t>
  </si>
  <si>
    <t>Southampton Airport</t>
  </si>
  <si>
    <t xml:space="preserve">EGSY </t>
  </si>
  <si>
    <t xml:space="preserve">EGTE </t>
  </si>
  <si>
    <t xml:space="preserve">EGTG </t>
  </si>
  <si>
    <t xml:space="preserve">EGTK </t>
  </si>
  <si>
    <t xml:space="preserve">EGTO </t>
  </si>
  <si>
    <t xml:space="preserve">EGTR </t>
  </si>
  <si>
    <t xml:space="preserve">EGUB </t>
  </si>
  <si>
    <t xml:space="preserve">EGUD </t>
  </si>
  <si>
    <t xml:space="preserve">EGUL </t>
  </si>
  <si>
    <t xml:space="preserve">EGUN </t>
  </si>
  <si>
    <t xml:space="preserve">EGUY </t>
  </si>
  <si>
    <t xml:space="preserve">EGVA </t>
  </si>
  <si>
    <t xml:space="preserve">EGVN </t>
  </si>
  <si>
    <t xml:space="preserve">EGVO </t>
  </si>
  <si>
    <t xml:space="preserve">EGWU </t>
  </si>
  <si>
    <t xml:space="preserve">EGXC </t>
  </si>
  <si>
    <t xml:space="preserve">EGXH </t>
  </si>
  <si>
    <t xml:space="preserve">EGXP </t>
  </si>
  <si>
    <t xml:space="preserve">EGXU </t>
  </si>
  <si>
    <t xml:space="preserve">EGXW </t>
  </si>
  <si>
    <t xml:space="preserve">EGYC </t>
  </si>
  <si>
    <t xml:space="preserve">EGYM </t>
  </si>
  <si>
    <t xml:space="preserve">EGYP </t>
  </si>
  <si>
    <t>Redhill, England</t>
  </si>
  <si>
    <t>Bodmin Airfield</t>
  </si>
  <si>
    <t>Bodmin, England</t>
  </si>
  <si>
    <t>London City Airport</t>
  </si>
  <si>
    <t>Denham Aerodrome</t>
  </si>
  <si>
    <t>Gerrards Cross, England</t>
  </si>
  <si>
    <t>Farnborough Airfield</t>
  </si>
  <si>
    <t>Farnborough, England</t>
  </si>
  <si>
    <t>Panshanger Airport</t>
  </si>
  <si>
    <t>Hertford, England</t>
  </si>
  <si>
    <t>Chalgrove Airfield</t>
  </si>
  <si>
    <t>Oxford, England</t>
  </si>
  <si>
    <t>Nottingham, England</t>
  </si>
  <si>
    <t>Wolverhampton Airport</t>
  </si>
  <si>
    <t>Wolverhampton, England</t>
  </si>
  <si>
    <t>Kemble Airport</t>
  </si>
  <si>
    <t>Kemble, England</t>
  </si>
  <si>
    <t>Shobdon Aerodrome</t>
  </si>
  <si>
    <t>Leominster, England</t>
  </si>
  <si>
    <t>Turweston Aerodrome</t>
  </si>
  <si>
    <t>Turweston, England</t>
  </si>
  <si>
    <t>Silverstone Heliport</t>
  </si>
  <si>
    <t>Silverstone, England</t>
  </si>
  <si>
    <t>Wellesbourne Mountford Airfield</t>
  </si>
  <si>
    <t>Wellesbourne, England</t>
  </si>
  <si>
    <t>City Airport Manchester</t>
  </si>
  <si>
    <t>Manchester, England</t>
  </si>
  <si>
    <t>London Heathrow Airport</t>
  </si>
  <si>
    <t>White Waltham Airfield</t>
  </si>
  <si>
    <t>White Waltham, England</t>
  </si>
  <si>
    <t>Brimpton (Wasing Lower Farm)</t>
  </si>
  <si>
    <t>Old Sarum Airfield</t>
  </si>
  <si>
    <t>Salisbury, England</t>
  </si>
  <si>
    <t>Ascot Racecourse Heliport</t>
  </si>
  <si>
    <t>Ascot Racecourse, England</t>
  </si>
  <si>
    <t>London Heliport</t>
  </si>
  <si>
    <t>Fowlmere Airport</t>
  </si>
  <si>
    <t>Cambridge, England</t>
  </si>
  <si>
    <t>London Southend Airport</t>
  </si>
  <si>
    <t>Southend-on-Sea, England</t>
  </si>
  <si>
    <t>London Ashford Airport</t>
  </si>
  <si>
    <t>Lydd, England</t>
  </si>
  <si>
    <t>Kent International Airport</t>
  </si>
  <si>
    <t>Canterbury, England</t>
  </si>
  <si>
    <t>Little Gransden Airfield</t>
  </si>
  <si>
    <t>Chester, England</t>
  </si>
  <si>
    <t>Isle of Man Airport</t>
  </si>
  <si>
    <t>Isle of Man</t>
  </si>
  <si>
    <t>Newcastle Airport</t>
  </si>
  <si>
    <t>Newcastle upon Tyne, England</t>
  </si>
  <si>
    <t>Full Sutton Airfield</t>
  </si>
  <si>
    <t>York, England</t>
  </si>
  <si>
    <t>Durham Tees Valley Airport</t>
  </si>
  <si>
    <t>Tees Valley, England</t>
  </si>
  <si>
    <t>Wickenby Aerodrome</t>
  </si>
  <si>
    <t>Nottingham East Midlands Airport</t>
  </si>
  <si>
    <t>East Midlands, England</t>
  </si>
  <si>
    <t>Beverley/Linley Hill Airfield</t>
  </si>
  <si>
    <t>Beverley, England</t>
  </si>
  <si>
    <t>Llanbedr Airport</t>
  </si>
  <si>
    <t>Llanbedr, Wales</t>
  </si>
  <si>
    <t>RAF Ternhill</t>
  </si>
  <si>
    <t>Portland Harbour, England</t>
  </si>
  <si>
    <t>RNAS Culdrose</t>
  </si>
  <si>
    <t>Helston, England</t>
  </si>
  <si>
    <t>Salisbury Plain Airport</t>
  </si>
  <si>
    <t>Bulford, England</t>
  </si>
  <si>
    <t>Wroughton Airport</t>
  </si>
  <si>
    <t>Wroughton, England</t>
  </si>
  <si>
    <t>Hullavington Airport</t>
  </si>
  <si>
    <t>Hullavington, England</t>
  </si>
  <si>
    <t>RNAS Merryfield</t>
  </si>
  <si>
    <t>Yeovil, England</t>
  </si>
  <si>
    <t>MoD Saint Athan</t>
  </si>
  <si>
    <t>St Athan, Wales</t>
  </si>
  <si>
    <t>RNAS Yeovilton</t>
  </si>
  <si>
    <t>Campbeltown Airport</t>
  </si>
  <si>
    <t>Campbeltown, Scotland</t>
  </si>
  <si>
    <t>Stamford, England</t>
  </si>
  <si>
    <t>RAF Linton-on-Ouse</t>
  </si>
  <si>
    <t>Linton-on-Ouse, England</t>
  </si>
  <si>
    <t>RAF Waddington</t>
  </si>
  <si>
    <t>Waddington, England</t>
  </si>
  <si>
    <t>Aberporth Airport</t>
  </si>
  <si>
    <t>Cardigan, Wales</t>
  </si>
  <si>
    <t>Cardiff Heliport</t>
  </si>
  <si>
    <t>Cardiff, Wales</t>
  </si>
  <si>
    <t>Haverfordwest Aerodrome</t>
  </si>
  <si>
    <t>Haverfordwest, Wales</t>
  </si>
  <si>
    <t>Cardiff International Airport</t>
  </si>
  <si>
    <t>Swansea Airport</t>
  </si>
  <si>
    <t>Swansea, Wales</t>
  </si>
  <si>
    <t>Glasgow, Scotland</t>
  </si>
  <si>
    <t>Cumbernauld Airport</t>
  </si>
  <si>
    <t>Cumbernauld, Scotland</t>
  </si>
  <si>
    <t>Edinburgh Airport</t>
  </si>
  <si>
    <t>Edinburgh, Scotland</t>
  </si>
  <si>
    <t>Islay Airport</t>
  </si>
  <si>
    <t>Islay, Scotland</t>
  </si>
  <si>
    <t>Fife Airport</t>
  </si>
  <si>
    <t>Glenrothes, Scotland</t>
  </si>
  <si>
    <t>Glasgow Prestwick International Airport</t>
  </si>
  <si>
    <t>Benbecula Airport</t>
  </si>
  <si>
    <t>Benbecula, Scotland</t>
  </si>
  <si>
    <t>Scatsta Airport</t>
  </si>
  <si>
    <t>Dundee Airport</t>
  </si>
  <si>
    <t>Dundee, Scotland</t>
  </si>
  <si>
    <t>Stornoway Airport</t>
  </si>
  <si>
    <t>Stornoway, Scotland</t>
  </si>
  <si>
    <t>Barra Airport</t>
  </si>
  <si>
    <t>Barra, Scotland</t>
  </si>
  <si>
    <t>Perth Airport (Scotland)</t>
  </si>
  <si>
    <t>Perth, Scotland</t>
  </si>
  <si>
    <t>Tiree Airport</t>
  </si>
  <si>
    <t>Tiree, Scotland</t>
  </si>
  <si>
    <t>RAF Kinloss</t>
  </si>
  <si>
    <t>Southampton, England</t>
  </si>
  <si>
    <t>Bembridge Airport</t>
  </si>
  <si>
    <t>Sandown, England</t>
  </si>
  <si>
    <t>Penzance Heliport</t>
  </si>
  <si>
    <t>Penzance, England</t>
  </si>
  <si>
    <t>Lasham Airfield</t>
  </si>
  <si>
    <t>Basingstoke, England</t>
  </si>
  <si>
    <t>Isle of Wight/Sandown Airport</t>
  </si>
  <si>
    <t>Thruxton Aerodrome</t>
  </si>
  <si>
    <t>Andover, England</t>
  </si>
  <si>
    <t>Old Buckenham Airport</t>
  </si>
  <si>
    <t>North Weald Airfield</t>
  </si>
  <si>
    <t>North Weald, England</t>
  </si>
  <si>
    <t>Sheffield City Airport</t>
  </si>
  <si>
    <t>Sheffield, England</t>
  </si>
  <si>
    <t>Wycombe Air Park/Booker Airport</t>
  </si>
  <si>
    <t>High Wycombe, England</t>
  </si>
  <si>
    <t>Cranfield Airport</t>
  </si>
  <si>
    <t>Cranfield, England</t>
  </si>
  <si>
    <t>Dunsfold Aerodrome</t>
  </si>
  <si>
    <t>Dunsfold, England</t>
  </si>
  <si>
    <t>Exeter International Airport</t>
  </si>
  <si>
    <t>Exeter, England</t>
  </si>
  <si>
    <t>Fairoaks Airport</t>
  </si>
  <si>
    <t>Chobham, England</t>
  </si>
  <si>
    <t>Bristol Filton Airport</t>
  </si>
  <si>
    <t>Filton, England</t>
  </si>
  <si>
    <t>Guernsey, Channel Islands</t>
  </si>
  <si>
    <t>Jersey Airport &amp; Aviation Beauport</t>
  </si>
  <si>
    <t>Jersey, Channel Islands</t>
  </si>
  <si>
    <t>Shoreham Airport</t>
  </si>
  <si>
    <t>Shoreham-by-Sea, England</t>
  </si>
  <si>
    <t>London Biggin Hill Airport</t>
  </si>
  <si>
    <t>Challock Airport</t>
  </si>
  <si>
    <t>Challock, England</t>
  </si>
  <si>
    <t>Goodwood Racecourse Heliport</t>
  </si>
  <si>
    <t>Goodwood Racecourse, England</t>
  </si>
  <si>
    <t>Lashenden/Headcorn Airport</t>
  </si>
  <si>
    <t>Maidstone, England</t>
  </si>
  <si>
    <t>London Gatwick Airport</t>
  </si>
  <si>
    <t>Redhill Aerodrome</t>
  </si>
  <si>
    <t>Rochester Airport, England</t>
  </si>
  <si>
    <t>Rochester, England</t>
  </si>
  <si>
    <t>Perranporth Airfield</t>
  </si>
  <si>
    <t>Perranporth, England</t>
  </si>
  <si>
    <t>Elstree Airfield</t>
  </si>
  <si>
    <t>Watford, England</t>
  </si>
  <si>
    <t>Dunkeswell Aerodrome</t>
  </si>
  <si>
    <t>Honiton, England</t>
  </si>
  <si>
    <t>Oaksey Park Airport</t>
  </si>
  <si>
    <t>Oaksey, England</t>
  </si>
  <si>
    <t>RAF Benson</t>
  </si>
  <si>
    <t>Benson, England</t>
  </si>
  <si>
    <t>RAF Abingdon</t>
  </si>
  <si>
    <t>Abingdon, England</t>
  </si>
  <si>
    <t>RAF Lakenheath</t>
  </si>
  <si>
    <t>Lakenheath, England</t>
  </si>
  <si>
    <t>RAF Mildenhall</t>
  </si>
  <si>
    <t>Mildenhall, England</t>
  </si>
  <si>
    <t>Colerne Airfield</t>
  </si>
  <si>
    <t>Colerne, England</t>
  </si>
  <si>
    <t>RAF Wattisham</t>
  </si>
  <si>
    <t>Stowmarket, England</t>
  </si>
  <si>
    <t>RAF Wyton</t>
  </si>
  <si>
    <t>St Ives, England</t>
  </si>
  <si>
    <t>RAF Fairford</t>
  </si>
  <si>
    <t>Upminster, England</t>
  </si>
  <si>
    <t>Hucknall Airfield</t>
  </si>
  <si>
    <t>Brough Aerodrome</t>
  </si>
  <si>
    <t>Brough, England</t>
  </si>
  <si>
    <t>Carlisle Airport</t>
  </si>
  <si>
    <t>Carlisle, England</t>
  </si>
  <si>
    <t>Gamston Airport</t>
  </si>
  <si>
    <t>Retford, England</t>
  </si>
  <si>
    <t>Netherthorpe Airfield</t>
  </si>
  <si>
    <t>Worksop, England</t>
  </si>
  <si>
    <t>Blackpool International Airport</t>
  </si>
  <si>
    <t>Blackpool, England</t>
  </si>
  <si>
    <t>Humberside Airport</t>
  </si>
  <si>
    <t>Kingston upon Hull, England</t>
  </si>
  <si>
    <t>Barrow/Walney Island Airfield</t>
  </si>
  <si>
    <t>Barrow-in-Furness, England</t>
  </si>
  <si>
    <t>Leeds Bradford International Airport</t>
  </si>
  <si>
    <t>West Yorkshire, England</t>
  </si>
  <si>
    <t>Warton Aerodrome</t>
  </si>
  <si>
    <t>Preston, England</t>
  </si>
  <si>
    <t>Hawarden Airport</t>
  </si>
  <si>
    <t xml:space="preserve">LFGJ </t>
  </si>
  <si>
    <t xml:space="preserve">LFGL </t>
  </si>
  <si>
    <t xml:space="preserve">LFGV </t>
  </si>
  <si>
    <t xml:space="preserve">LFGW </t>
  </si>
  <si>
    <t xml:space="preserve">LFGY </t>
  </si>
  <si>
    <t xml:space="preserve">LFHH </t>
  </si>
  <si>
    <t xml:space="preserve">LFHM </t>
  </si>
  <si>
    <t xml:space="preserve">LFHN </t>
  </si>
  <si>
    <t xml:space="preserve">LFHO </t>
  </si>
  <si>
    <t xml:space="preserve">LFHP </t>
  </si>
  <si>
    <t xml:space="preserve">LFHS </t>
  </si>
  <si>
    <t xml:space="preserve">LFHV </t>
  </si>
  <si>
    <t xml:space="preserve">LFHY </t>
  </si>
  <si>
    <t xml:space="preserve">LFHZ </t>
  </si>
  <si>
    <t xml:space="preserve">LFIO </t>
  </si>
  <si>
    <t xml:space="preserve">LFJL </t>
  </si>
  <si>
    <t xml:space="preserve">LFJR </t>
  </si>
  <si>
    <t xml:space="preserve">LFJS </t>
  </si>
  <si>
    <t xml:space="preserve">LFKA </t>
  </si>
  <si>
    <t xml:space="preserve">LFTM </t>
  </si>
  <si>
    <t xml:space="preserve">LFTN </t>
  </si>
  <si>
    <t xml:space="preserve">LFTP </t>
  </si>
  <si>
    <t xml:space="preserve">LFTQ </t>
  </si>
  <si>
    <t xml:space="preserve">LFTR </t>
  </si>
  <si>
    <t xml:space="preserve">LFXA </t>
  </si>
  <si>
    <t xml:space="preserve">LFXM </t>
  </si>
  <si>
    <t xml:space="preserve">LFXU </t>
  </si>
  <si>
    <t xml:space="preserve">LFYG </t>
  </si>
  <si>
    <t xml:space="preserve">LFYR </t>
  </si>
  <si>
    <t xml:space="preserve">LFYS </t>
  </si>
  <si>
    <t xml:space="preserve">EBAM </t>
  </si>
  <si>
    <t xml:space="preserve">EBBE </t>
  </si>
  <si>
    <t xml:space="preserve">EBBL </t>
  </si>
  <si>
    <t xml:space="preserve">EBBT </t>
  </si>
  <si>
    <t xml:space="preserve">EBBX </t>
  </si>
  <si>
    <t xml:space="preserve">EBBY </t>
  </si>
  <si>
    <t xml:space="preserve">EBBZ </t>
  </si>
  <si>
    <t xml:space="preserve">EBCF </t>
  </si>
  <si>
    <t>Ternhill, England</t>
  </si>
  <si>
    <t>RAF Mona</t>
  </si>
  <si>
    <t>Anglesey, Wales</t>
  </si>
  <si>
    <t>RAF Shawbury</t>
  </si>
  <si>
    <t>Shawbury, England</t>
  </si>
  <si>
    <t>RAF Valley/Anglesey Airport</t>
  </si>
  <si>
    <t>RAF Woodvale</t>
  </si>
  <si>
    <t>Formby, England</t>
  </si>
  <si>
    <t>Kirkwall Airport</t>
  </si>
  <si>
    <t>Kirkwall, Scotland</t>
  </si>
  <si>
    <t>Sumburgh Airport</t>
  </si>
  <si>
    <t>Shetland Islands, Scotland</t>
  </si>
  <si>
    <t>Wick Airport</t>
  </si>
  <si>
    <t>Wick, Scotland</t>
  </si>
  <si>
    <t>Aberdeen Airport</t>
  </si>
  <si>
    <t>Inverness Airport</t>
  </si>
  <si>
    <t>Inverness, Scotland</t>
  </si>
  <si>
    <t>Glasgow International Airport</t>
  </si>
  <si>
    <t>Falkland Islands (note: not in SF.. series)</t>
  </si>
  <si>
    <t>Code</t>
    <phoneticPr fontId="2" type="noConversion"/>
  </si>
  <si>
    <t xml:space="preserve">LFAE </t>
  </si>
  <si>
    <t xml:space="preserve">LFAI </t>
  </si>
  <si>
    <t xml:space="preserve">LFAJ </t>
  </si>
  <si>
    <t xml:space="preserve">LFAL </t>
  </si>
  <si>
    <t xml:space="preserve">LFAM </t>
  </si>
  <si>
    <t xml:space="preserve">LFAO </t>
  </si>
  <si>
    <t xml:space="preserve">LFAP </t>
  </si>
  <si>
    <t xml:space="preserve">LFAQ </t>
  </si>
  <si>
    <t xml:space="preserve">LFAR </t>
  </si>
  <si>
    <t>Kinloss, Scotland</t>
  </si>
  <si>
    <t>RAF Leuchars</t>
  </si>
  <si>
    <t>Leuchars, Scotland</t>
  </si>
  <si>
    <t>RAF Boulmer</t>
  </si>
  <si>
    <t>Alnwick, England</t>
  </si>
  <si>
    <t>RAF Lossiemouth</t>
  </si>
  <si>
    <t>Lossiemouth, Scotland</t>
  </si>
  <si>
    <t>Shipdham Airport</t>
  </si>
  <si>
    <t>Shipdham, England</t>
  </si>
  <si>
    <t>Bedford Castle Mill Airport</t>
  </si>
  <si>
    <t>Bedford, England</t>
  </si>
  <si>
    <t>Cambridge Airport</t>
  </si>
  <si>
    <t>Great Yarmouth - North Denes Airport</t>
  </si>
  <si>
    <t>Great Yarmouth, England</t>
  </si>
  <si>
    <t>Peterborough Business Airport</t>
  </si>
  <si>
    <t>Peterborough, England</t>
  </si>
  <si>
    <t>Stapleford Aerodrome</t>
  </si>
  <si>
    <t>Romford, England</t>
  </si>
  <si>
    <t>Norwich International Airport</t>
  </si>
  <si>
    <t>Norwich, England</t>
  </si>
  <si>
    <t>Seething Airfield</t>
  </si>
  <si>
    <t>Hethel Airport</t>
  </si>
  <si>
    <t>Hethel, England</t>
  </si>
  <si>
    <t>Andrewsfield Airport</t>
  </si>
  <si>
    <t>Braintree, England</t>
  </si>
  <si>
    <t>Beccles Airport</t>
  </si>
  <si>
    <t>Beccles, England</t>
  </si>
  <si>
    <t>Bourn Airport</t>
  </si>
  <si>
    <t>Crowfield Airfield</t>
  </si>
  <si>
    <t>Ipswich, England</t>
  </si>
  <si>
    <t>Peterborough/Sibson Airport</t>
  </si>
  <si>
    <t>Clacton Airport</t>
  </si>
  <si>
    <t>Clacton-on-Sea, England</t>
  </si>
  <si>
    <t>Earls Colne Airfield</t>
  </si>
  <si>
    <t>Halstead, England</t>
  </si>
  <si>
    <t>London Stansted Airport</t>
  </si>
  <si>
    <t>Elmsett Airport</t>
  </si>
  <si>
    <t>Duxford</t>
  </si>
  <si>
    <t>Dieppe - Saint-Aubin Airport</t>
  </si>
  <si>
    <t>Dieppe</t>
  </si>
  <si>
    <t>Calais - Dunkerque Airport</t>
  </si>
  <si>
    <t>Calais, Dunkerque</t>
  </si>
  <si>
    <t>Compiègne - Margny Airport</t>
  </si>
  <si>
    <t>Compiègne</t>
  </si>
  <si>
    <t>Eu Mers - Le Tréport Airport</t>
  </si>
  <si>
    <t>Eu, Le Tréport</t>
  </si>
  <si>
    <t xml:space="preserve">LFHE </t>
  </si>
  <si>
    <t xml:space="preserve">LFHF </t>
  </si>
  <si>
    <t xml:space="preserve">LFHG </t>
  </si>
  <si>
    <t xml:space="preserve">LFES </t>
  </si>
  <si>
    <t xml:space="preserve">LFET </t>
  </si>
  <si>
    <t xml:space="preserve">LFEV </t>
  </si>
  <si>
    <t xml:space="preserve">LFEW </t>
  </si>
  <si>
    <t xml:space="preserve">LFEX </t>
  </si>
  <si>
    <t xml:space="preserve">LFEZ </t>
  </si>
  <si>
    <t xml:space="preserve">LFFB </t>
  </si>
  <si>
    <t xml:space="preserve">LFFC </t>
  </si>
  <si>
    <t xml:space="preserve">LFFD </t>
  </si>
  <si>
    <t xml:space="preserve">LFFE </t>
  </si>
  <si>
    <t xml:space="preserve">LFFG </t>
  </si>
  <si>
    <t xml:space="preserve">LFFI </t>
  </si>
  <si>
    <t xml:space="preserve">LFFJ </t>
  </si>
  <si>
    <t xml:space="preserve">LFFK </t>
  </si>
  <si>
    <t xml:space="preserve">LFFL </t>
  </si>
  <si>
    <t xml:space="preserve">LFFM </t>
  </si>
  <si>
    <t xml:space="preserve">LFFN </t>
  </si>
  <si>
    <t xml:space="preserve">LFFP </t>
  </si>
  <si>
    <t>Oxford Airport</t>
  </si>
  <si>
    <t xml:space="preserve">LFIH </t>
  </si>
  <si>
    <t xml:space="preserve">LFIK </t>
  </si>
  <si>
    <t xml:space="preserve">LFIL </t>
  </si>
  <si>
    <t xml:space="preserve">LFIM </t>
  </si>
  <si>
    <t xml:space="preserve">LFIP </t>
  </si>
  <si>
    <t xml:space="preserve">LFIR </t>
  </si>
  <si>
    <t xml:space="preserve">LFIT </t>
  </si>
  <si>
    <t xml:space="preserve">LFIV </t>
  </si>
  <si>
    <t xml:space="preserve">LFGB </t>
  </si>
  <si>
    <t xml:space="preserve">LFGC </t>
  </si>
  <si>
    <t xml:space="preserve">LFGD </t>
  </si>
  <si>
    <t xml:space="preserve">LFGE </t>
  </si>
  <si>
    <t xml:space="preserve">LFGG </t>
  </si>
  <si>
    <t xml:space="preserve">LFGH </t>
  </si>
  <si>
    <t xml:space="preserve">LFGI </t>
  </si>
  <si>
    <t xml:space="preserve">LFGK </t>
  </si>
  <si>
    <t xml:space="preserve">LFGM </t>
  </si>
  <si>
    <t xml:space="preserve">LFGN </t>
  </si>
  <si>
    <t xml:space="preserve">LFGO </t>
  </si>
  <si>
    <t xml:space="preserve">LFGP </t>
  </si>
  <si>
    <t xml:space="preserve">LFGQ </t>
  </si>
  <si>
    <t xml:space="preserve">LFGR </t>
  </si>
  <si>
    <t xml:space="preserve">LFGS </t>
  </si>
  <si>
    <t xml:space="preserve">LFGT </t>
  </si>
  <si>
    <t xml:space="preserve">LFGU </t>
  </si>
  <si>
    <t xml:space="preserve">LFGX </t>
  </si>
  <si>
    <t xml:space="preserve">LFGZ </t>
  </si>
  <si>
    <t xml:space="preserve">LFHA </t>
  </si>
  <si>
    <t xml:space="preserve">LFHC </t>
  </si>
  <si>
    <t xml:space="preserve">LFHD </t>
  </si>
  <si>
    <t>Blackbushe Airport</t>
  </si>
  <si>
    <t>Camberley, England</t>
  </si>
  <si>
    <t xml:space="preserve">LFEP </t>
  </si>
  <si>
    <t xml:space="preserve">LFEQ </t>
  </si>
  <si>
    <t xml:space="preserve">LFCB </t>
  </si>
  <si>
    <t xml:space="preserve">LFCD </t>
  </si>
  <si>
    <t xml:space="preserve">LFCF </t>
  </si>
  <si>
    <t xml:space="preserve">LFCG </t>
  </si>
  <si>
    <t xml:space="preserve">LFCJ </t>
  </si>
  <si>
    <t xml:space="preserve">LFCL </t>
  </si>
  <si>
    <t xml:space="preserve">LFCM </t>
  </si>
  <si>
    <t xml:space="preserve">LFCN </t>
  </si>
  <si>
    <t xml:space="preserve">LFCO </t>
  </si>
  <si>
    <t xml:space="preserve">LFCP </t>
  </si>
  <si>
    <t xml:space="preserve">LFCQ </t>
  </si>
  <si>
    <t xml:space="preserve">LFCS </t>
  </si>
  <si>
    <t xml:space="preserve">LFCT </t>
  </si>
  <si>
    <t xml:space="preserve">LFCU </t>
  </si>
  <si>
    <t xml:space="preserve">LFCV </t>
  </si>
  <si>
    <t xml:space="preserve">LFCW </t>
  </si>
  <si>
    <t xml:space="preserve">LFCX </t>
  </si>
  <si>
    <t xml:space="preserve">LFCZ </t>
  </si>
  <si>
    <t xml:space="preserve">LFDA </t>
  </si>
  <si>
    <t xml:space="preserve">LFDC </t>
  </si>
  <si>
    <t xml:space="preserve">LFDE </t>
  </si>
  <si>
    <t xml:space="preserve">LFDF </t>
  </si>
  <si>
    <t xml:space="preserve">LFDG </t>
  </si>
  <si>
    <t xml:space="preserve">LFAS </t>
  </si>
  <si>
    <t xml:space="preserve">LFAU </t>
  </si>
  <si>
    <t xml:space="preserve">LFAW </t>
  </si>
  <si>
    <t xml:space="preserve">LFAX </t>
  </si>
  <si>
    <t xml:space="preserve">LFBJ </t>
  </si>
  <si>
    <t xml:space="preserve">LFBR </t>
  </si>
  <si>
    <t xml:space="preserve">LFBS </t>
  </si>
  <si>
    <t>Fairford, England</t>
  </si>
  <si>
    <t>RAF Brize Norton</t>
  </si>
  <si>
    <t>Brize Norton, England</t>
  </si>
  <si>
    <t>RAF Odiham</t>
  </si>
  <si>
    <t>Odiham, England</t>
  </si>
  <si>
    <t>AAC Middle Wallop Airfield</t>
  </si>
  <si>
    <t>RAF Cosford</t>
  </si>
  <si>
    <t>Albrighton, England</t>
  </si>
  <si>
    <t>RAF Henlow</t>
  </si>
  <si>
    <t>Henlow, England</t>
  </si>
  <si>
    <t>RAF Halton</t>
  </si>
  <si>
    <t>Halton, England</t>
  </si>
  <si>
    <t>RAF Northolt</t>
  </si>
  <si>
    <t>Ruislip, England</t>
  </si>
  <si>
    <t>RAF Coningsby</t>
  </si>
  <si>
    <t>Coningsby, England</t>
  </si>
  <si>
    <t>RAF Dishforth</t>
  </si>
  <si>
    <t>North Yorkshire, England</t>
  </si>
  <si>
    <t>RAF Leeming</t>
  </si>
  <si>
    <t>Leeming Bar, England</t>
  </si>
  <si>
    <t>RAF Church Fenton</t>
  </si>
  <si>
    <t>Church Fenton, England</t>
  </si>
  <si>
    <t>RAF Honington</t>
  </si>
  <si>
    <t>Thetford, England</t>
  </si>
  <si>
    <t>RAF Scampton</t>
  </si>
  <si>
    <t>Scampton, England</t>
  </si>
  <si>
    <t>RAF Wittering</t>
  </si>
  <si>
    <t xml:space="preserve">LFDI </t>
  </si>
  <si>
    <t xml:space="preserve">LFDN </t>
  </si>
  <si>
    <t xml:space="preserve">LFDS </t>
  </si>
  <si>
    <t xml:space="preserve">LFEF </t>
  </si>
  <si>
    <t xml:space="preserve">LFEO </t>
  </si>
  <si>
    <t xml:space="preserve">LFER </t>
  </si>
  <si>
    <t xml:space="preserve">LFEU </t>
  </si>
  <si>
    <t xml:space="preserve">LFEY </t>
  </si>
  <si>
    <t xml:space="preserve">LFFH </t>
  </si>
  <si>
    <t xml:space="preserve">LFFV </t>
  </si>
  <si>
    <t xml:space="preserve">LFGA </t>
  </si>
  <si>
    <t xml:space="preserve">LFGF </t>
  </si>
  <si>
    <t xml:space="preserve">LFOZ </t>
  </si>
  <si>
    <t xml:space="preserve">LFPA </t>
  </si>
  <si>
    <t xml:space="preserve">LFPE </t>
  </si>
  <si>
    <t xml:space="preserve">LFPF </t>
  </si>
  <si>
    <t xml:space="preserve">LFPH </t>
  </si>
  <si>
    <t xml:space="preserve">LFPI </t>
  </si>
  <si>
    <t xml:space="preserve">LFPK </t>
  </si>
  <si>
    <t xml:space="preserve">LFPM </t>
  </si>
  <si>
    <t xml:space="preserve">LFPP </t>
  </si>
  <si>
    <t xml:space="preserve">LFPQ </t>
  </si>
  <si>
    <t xml:space="preserve">LFPU </t>
  </si>
  <si>
    <t xml:space="preserve">LFPV </t>
  </si>
  <si>
    <t xml:space="preserve">LFPX </t>
  </si>
  <si>
    <t xml:space="preserve">LFPY </t>
  </si>
  <si>
    <t xml:space="preserve">LFPZ </t>
  </si>
  <si>
    <t xml:space="preserve">LFQA </t>
  </si>
  <si>
    <t xml:space="preserve">LFQC </t>
  </si>
  <si>
    <t xml:space="preserve">LFQF </t>
  </si>
  <si>
    <t xml:space="preserve">LFQH </t>
  </si>
  <si>
    <t xml:space="preserve">LFNR </t>
  </si>
  <si>
    <t xml:space="preserve">LFNS </t>
  </si>
  <si>
    <t xml:space="preserve">LFNT </t>
  </si>
  <si>
    <t xml:space="preserve">LFNU </t>
  </si>
  <si>
    <t xml:space="preserve">LFNV </t>
  </si>
  <si>
    <t xml:space="preserve">LFNW </t>
  </si>
  <si>
    <t xml:space="preserve">LFNX </t>
  </si>
  <si>
    <t xml:space="preserve">LFNZ </t>
  </si>
  <si>
    <t xml:space="preserve">LFOC </t>
  </si>
  <si>
    <t xml:space="preserve">LFOG </t>
  </si>
  <si>
    <t xml:space="preserve">LFOL </t>
  </si>
  <si>
    <t xml:space="preserve">LFOM </t>
  </si>
  <si>
    <t xml:space="preserve">LFON </t>
  </si>
  <si>
    <t xml:space="preserve">LFOS </t>
  </si>
  <si>
    <t xml:space="preserve">LFOW </t>
  </si>
  <si>
    <t xml:space="preserve">LFOX </t>
  </si>
  <si>
    <t xml:space="preserve">LFMG </t>
  </si>
  <si>
    <t xml:space="preserve">LFMW </t>
  </si>
  <si>
    <t xml:space="preserve">EBCV </t>
  </si>
  <si>
    <t xml:space="preserve">EBFN </t>
  </si>
  <si>
    <t xml:space="preserve">EBFS </t>
  </si>
  <si>
    <t xml:space="preserve">EBGB </t>
  </si>
  <si>
    <t xml:space="preserve">EBHN </t>
  </si>
  <si>
    <t xml:space="preserve">LFRP </t>
  </si>
  <si>
    <t xml:space="preserve">LFRW </t>
  </si>
  <si>
    <t xml:space="preserve">LFSE </t>
  </si>
  <si>
    <t xml:space="preserve">LFSH </t>
  </si>
  <si>
    <t xml:space="preserve">LFSK </t>
  </si>
  <si>
    <t xml:space="preserve">LFSP </t>
  </si>
  <si>
    <t>RAF Syerston</t>
  </si>
  <si>
    <t>Newark-on-Trent, England</t>
  </si>
  <si>
    <t>RAF Topcliffe</t>
  </si>
  <si>
    <t>Topcliffe, England</t>
  </si>
  <si>
    <t>RAF Coltishall</t>
  </si>
  <si>
    <t>RAF Cranwell</t>
  </si>
  <si>
    <t>Cranwell, England</t>
  </si>
  <si>
    <t>RAF Barkston Heath</t>
  </si>
  <si>
    <t>Grantham, England</t>
  </si>
  <si>
    <t>RAF Marham</t>
  </si>
  <si>
    <t>Marham, England</t>
  </si>
  <si>
    <t>RAF Mount Pleasant</t>
  </si>
  <si>
    <t xml:space="preserve">LFKD </t>
  </si>
  <si>
    <t xml:space="preserve">LFKE </t>
  </si>
  <si>
    <t xml:space="preserve">LFKG </t>
  </si>
  <si>
    <t xml:space="preserve">LFKH </t>
  </si>
  <si>
    <t xml:space="preserve">LFKL </t>
  </si>
  <si>
    <t xml:space="preserve">LFKM </t>
  </si>
  <si>
    <t xml:space="preserve">LFKO </t>
  </si>
  <si>
    <t xml:space="preserve">LFKP </t>
  </si>
  <si>
    <t xml:space="preserve">LFKT </t>
  </si>
  <si>
    <t xml:space="preserve">LFKY </t>
  </si>
  <si>
    <t xml:space="preserve">LFHI </t>
  </si>
  <si>
    <t xml:space="preserve">LFHJ </t>
  </si>
  <si>
    <t xml:space="preserve">LFHL </t>
  </si>
  <si>
    <t xml:space="preserve">LFHQ </t>
  </si>
  <si>
    <t xml:space="preserve">LFHR </t>
  </si>
  <si>
    <t xml:space="preserve">LFHT </t>
  </si>
  <si>
    <t xml:space="preserve">LFHU </t>
  </si>
  <si>
    <t xml:space="preserve">LFHW </t>
  </si>
  <si>
    <t xml:space="preserve">LFHX </t>
  </si>
  <si>
    <t xml:space="preserve">LFIB </t>
  </si>
  <si>
    <t xml:space="preserve">LFID </t>
  </si>
  <si>
    <t xml:space="preserve">LFIF </t>
  </si>
  <si>
    <t xml:space="preserve">LFIG </t>
  </si>
  <si>
    <t xml:space="preserve">LFOO </t>
  </si>
  <si>
    <t xml:space="preserve">LFOP </t>
  </si>
  <si>
    <t xml:space="preserve">LFOQ </t>
  </si>
  <si>
    <t xml:space="preserve">LFOR </t>
  </si>
  <si>
    <t xml:space="preserve">LFOT </t>
  </si>
  <si>
    <t xml:space="preserve">LFOU </t>
  </si>
  <si>
    <t xml:space="preserve">LFOV </t>
  </si>
  <si>
    <t xml:space="preserve">LFPB </t>
  </si>
  <si>
    <t xml:space="preserve">LFPC </t>
  </si>
  <si>
    <t xml:space="preserve">LFPD </t>
  </si>
  <si>
    <t xml:space="preserve">LFPG </t>
  </si>
  <si>
    <t xml:space="preserve">LFPL </t>
  </si>
  <si>
    <t xml:space="preserve">LFPN </t>
  </si>
  <si>
    <t xml:space="preserve">LFPO </t>
  </si>
  <si>
    <t xml:space="preserve">LFPT </t>
  </si>
  <si>
    <t xml:space="preserve">LFQB </t>
  </si>
  <si>
    <t xml:space="preserve">LFQD </t>
  </si>
  <si>
    <t xml:space="preserve">LFQG </t>
  </si>
  <si>
    <t xml:space="preserve">LFQI </t>
  </si>
  <si>
    <t xml:space="preserve">LFQJ </t>
  </si>
  <si>
    <t xml:space="preserve">LFQL </t>
  </si>
  <si>
    <t xml:space="preserve">LFQN </t>
  </si>
  <si>
    <t xml:space="preserve">LFQQ </t>
  </si>
  <si>
    <t xml:space="preserve">LFQT </t>
  </si>
  <si>
    <t xml:space="preserve">LFQV </t>
  </si>
  <si>
    <t xml:space="preserve">LFQW </t>
  </si>
  <si>
    <t xml:space="preserve">LFRA </t>
  </si>
  <si>
    <t xml:space="preserve">LFRB </t>
  </si>
  <si>
    <t xml:space="preserve">LFRC </t>
  </si>
  <si>
    <t xml:space="preserve">LFRD </t>
  </si>
  <si>
    <t xml:space="preserve">LFRE </t>
  </si>
  <si>
    <t xml:space="preserve">LFRF </t>
  </si>
  <si>
    <t xml:space="preserve">LFRG </t>
  </si>
  <si>
    <t xml:space="preserve">LFRH </t>
  </si>
  <si>
    <t xml:space="preserve">LFRI </t>
  </si>
  <si>
    <t xml:space="preserve">LFRJ </t>
  </si>
  <si>
    <t xml:space="preserve">LFRK </t>
  </si>
  <si>
    <t xml:space="preserve">LFRM </t>
  </si>
  <si>
    <t xml:space="preserve">LFRN </t>
  </si>
  <si>
    <t xml:space="preserve">LFRO </t>
  </si>
  <si>
    <t xml:space="preserve">LFRQ </t>
  </si>
  <si>
    <t xml:space="preserve">LFRS </t>
  </si>
  <si>
    <t xml:space="preserve">LFRT </t>
  </si>
  <si>
    <t xml:space="preserve">LFRU </t>
  </si>
  <si>
    <t xml:space="preserve">LFRV </t>
  </si>
  <si>
    <t xml:space="preserve">LFRZ </t>
  </si>
  <si>
    <t xml:space="preserve">LFSA </t>
  </si>
  <si>
    <t xml:space="preserve">LFSB </t>
  </si>
  <si>
    <t xml:space="preserve">LFSD </t>
  </si>
  <si>
    <t xml:space="preserve">LFSF </t>
  </si>
  <si>
    <t xml:space="preserve">LFSG </t>
  </si>
  <si>
    <t xml:space="preserve">LFSJ </t>
  </si>
  <si>
    <t xml:space="preserve">LFSM </t>
  </si>
  <si>
    <t xml:space="preserve">LFSN </t>
  </si>
  <si>
    <t xml:space="preserve">LFSQ </t>
  </si>
  <si>
    <t xml:space="preserve">LFSR </t>
  </si>
  <si>
    <t xml:space="preserve">LFST </t>
  </si>
  <si>
    <t xml:space="preserve">LFSW </t>
  </si>
  <si>
    <t xml:space="preserve">LFSY </t>
  </si>
  <si>
    <t xml:space="preserve">LFSZ </t>
  </si>
  <si>
    <t xml:space="preserve">LFTH </t>
  </si>
  <si>
    <t xml:space="preserve">LFTU </t>
  </si>
  <si>
    <t xml:space="preserve">LFTW </t>
  </si>
  <si>
    <t xml:space="preserve">LFTZ </t>
  </si>
  <si>
    <t xml:space="preserve">LFXB </t>
  </si>
  <si>
    <t xml:space="preserve">LFXN </t>
  </si>
  <si>
    <t xml:space="preserve">EBAW </t>
  </si>
  <si>
    <t xml:space="preserve">EBBR </t>
  </si>
  <si>
    <t xml:space="preserve">EBCI </t>
  </si>
  <si>
    <t xml:space="preserve">EBKT </t>
  </si>
  <si>
    <t xml:space="preserve">EBLG </t>
  </si>
  <si>
    <t xml:space="preserve">EBOS </t>
  </si>
  <si>
    <t xml:space="preserve">EBZH </t>
  </si>
  <si>
    <t xml:space="preserve">EBZR </t>
  </si>
  <si>
    <t xml:space="preserve">EBST </t>
  </si>
  <si>
    <t xml:space="preserve">EBSU </t>
  </si>
  <si>
    <t xml:space="preserve">EBTN </t>
  </si>
  <si>
    <t xml:space="preserve">EBTX </t>
  </si>
  <si>
    <t xml:space="preserve">EBTY </t>
  </si>
  <si>
    <t xml:space="preserve">EBUL </t>
  </si>
  <si>
    <t xml:space="preserve">EBWE </t>
  </si>
  <si>
    <t xml:space="preserve">EBZW </t>
  </si>
  <si>
    <t xml:space="preserve">LFAB </t>
  </si>
  <si>
    <t xml:space="preserve">LFAC </t>
  </si>
  <si>
    <t xml:space="preserve">LFAD </t>
  </si>
  <si>
    <t xml:space="preserve">LFAF </t>
  </si>
  <si>
    <t xml:space="preserve">LFAG </t>
  </si>
  <si>
    <t xml:space="preserve">LFAK </t>
  </si>
  <si>
    <t xml:space="preserve">LFAT </t>
  </si>
  <si>
    <t xml:space="preserve">LFAV </t>
  </si>
  <si>
    <t xml:space="preserve">LFAY </t>
  </si>
  <si>
    <t xml:space="preserve">LFAZ </t>
  </si>
  <si>
    <t xml:space="preserve">LFBA </t>
  </si>
  <si>
    <t xml:space="preserve">LFBD </t>
  </si>
  <si>
    <t xml:space="preserve">LFBE </t>
  </si>
  <si>
    <t xml:space="preserve">LFBG </t>
  </si>
  <si>
    <t xml:space="preserve">LFBH </t>
  </si>
  <si>
    <t xml:space="preserve">LFBI </t>
  </si>
  <si>
    <t xml:space="preserve">LFBK </t>
  </si>
  <si>
    <t xml:space="preserve">LFBL </t>
  </si>
  <si>
    <t xml:space="preserve">LFBM </t>
  </si>
  <si>
    <t xml:space="preserve">LFBN </t>
  </si>
  <si>
    <t xml:space="preserve">LFBO </t>
  </si>
  <si>
    <t xml:space="preserve">LFBP </t>
  </si>
  <si>
    <t xml:space="preserve">LFBT </t>
  </si>
  <si>
    <t xml:space="preserve">LFBU </t>
  </si>
  <si>
    <t xml:space="preserve">LFBV </t>
  </si>
  <si>
    <t xml:space="preserve">LFBX </t>
  </si>
  <si>
    <t xml:space="preserve">LFBY </t>
  </si>
  <si>
    <t xml:space="preserve">LFBZ </t>
  </si>
  <si>
    <t xml:space="preserve">LFCA </t>
  </si>
  <si>
    <t xml:space="preserve">LFFQ </t>
  </si>
  <si>
    <t xml:space="preserve">LFFR </t>
  </si>
  <si>
    <t xml:space="preserve">LFFT </t>
  </si>
  <si>
    <t xml:space="preserve">LFFU </t>
  </si>
  <si>
    <t xml:space="preserve">LFFW </t>
  </si>
  <si>
    <t xml:space="preserve">LFFX </t>
  </si>
  <si>
    <t xml:space="preserve">LFFY </t>
  </si>
  <si>
    <t xml:space="preserve">LFFZ </t>
  </si>
  <si>
    <t xml:space="preserve">LFDH </t>
  </si>
  <si>
    <t xml:space="preserve">LFDJ </t>
  </si>
  <si>
    <t xml:space="preserve">LFDK </t>
  </si>
  <si>
    <t xml:space="preserve">LFDL </t>
  </si>
  <si>
    <t xml:space="preserve">LFDM </t>
  </si>
  <si>
    <t xml:space="preserve">LFDP </t>
  </si>
  <si>
    <t xml:space="preserve">LFDQ </t>
  </si>
  <si>
    <t xml:space="preserve">LFDR </t>
  </si>
  <si>
    <t xml:space="preserve">LFDT </t>
  </si>
  <si>
    <t xml:space="preserve">LFDU </t>
  </si>
  <si>
    <t xml:space="preserve">LFDV </t>
  </si>
  <si>
    <t xml:space="preserve">LFDW </t>
  </si>
  <si>
    <t xml:space="preserve">LFDX </t>
  </si>
  <si>
    <t xml:space="preserve">LFDY </t>
  </si>
  <si>
    <t xml:space="preserve">LFEA </t>
  </si>
  <si>
    <t xml:space="preserve">LFEB </t>
  </si>
  <si>
    <t xml:space="preserve">LFEC </t>
  </si>
  <si>
    <t xml:space="preserve">LFED </t>
  </si>
  <si>
    <t xml:space="preserve">LFEG </t>
  </si>
  <si>
    <t xml:space="preserve">LFEH </t>
  </si>
  <si>
    <t xml:space="preserve">LFEI </t>
  </si>
  <si>
    <t xml:space="preserve">LFEJ </t>
  </si>
  <si>
    <t xml:space="preserve">LFEK </t>
  </si>
  <si>
    <t xml:space="preserve">LFEL </t>
  </si>
  <si>
    <t xml:space="preserve">LFEM </t>
  </si>
  <si>
    <t xml:space="preserve">LFEN </t>
  </si>
  <si>
    <t>Saint-Junien - Airport</t>
  </si>
  <si>
    <t>Saint-Junien</t>
  </si>
  <si>
    <t>Montluçon - Guéret Airport</t>
  </si>
  <si>
    <t>Montluçon</t>
  </si>
  <si>
    <t>Limoges - Bellegarde Airport</t>
  </si>
  <si>
    <t>Limoges</t>
  </si>
  <si>
    <t>Mont-de-Marsan Airport</t>
  </si>
  <si>
    <t>Mont-de-Marsan</t>
  </si>
  <si>
    <t>Niort - Souche Airport</t>
  </si>
  <si>
    <t>Niort</t>
  </si>
  <si>
    <t>Toulouse - Blagnac Airport</t>
  </si>
  <si>
    <t>Toulouse</t>
  </si>
  <si>
    <t>Pau - Pyrenees Airport</t>
  </si>
  <si>
    <t>Pau, Pyrenees</t>
  </si>
  <si>
    <t>Muret - Lherm Airport</t>
  </si>
  <si>
    <t>Muret, Lherm</t>
  </si>
  <si>
    <t>Biscarrosse - Parentis Airport</t>
  </si>
  <si>
    <t>Biscarrosse</t>
  </si>
  <si>
    <t>Tarbes - Lourdes Pyrenees Airport</t>
  </si>
  <si>
    <t>Tarbes</t>
  </si>
  <si>
    <t>Angoulême - Brie Champniers Airport</t>
  </si>
  <si>
    <t>Angoulême</t>
  </si>
  <si>
    <t>Brive - La Roche Airport</t>
  </si>
  <si>
    <t>Brive</t>
  </si>
  <si>
    <t>Périgueux - Bassillac Airport</t>
  </si>
  <si>
    <t>Périgueux</t>
  </si>
  <si>
    <t>Dax - Seyresse Airport</t>
  </si>
  <si>
    <t>Dax</t>
  </si>
  <si>
    <t>Biarritz-Bayonne - Anglet Airport</t>
  </si>
  <si>
    <t>Biarritz, Bayonne, Anglet</t>
  </si>
  <si>
    <t>Châtellerault - Targe Airport</t>
  </si>
  <si>
    <t>Châtellerault</t>
  </si>
  <si>
    <t>Bagnères-de-Luchon Airport</t>
  </si>
  <si>
    <t>Bagnères-de-Luchon</t>
  </si>
  <si>
    <t>Cahors Lalbenque Airport</t>
  </si>
  <si>
    <t>Cahors</t>
  </si>
  <si>
    <t>Andernos-les-Bains Airport</t>
  </si>
  <si>
    <t>Andernos-les-Bains</t>
  </si>
  <si>
    <t>Guéret Saint-Laurent Airport</t>
  </si>
  <si>
    <t>Guéret</t>
  </si>
  <si>
    <t xml:space="preserve">LFSU </t>
  </si>
  <si>
    <t xml:space="preserve">LFSV </t>
  </si>
  <si>
    <t xml:space="preserve">LFTB </t>
  </si>
  <si>
    <t xml:space="preserve">LFTF </t>
  </si>
  <si>
    <t xml:space="preserve">LFQK </t>
  </si>
  <si>
    <t xml:space="preserve">LFQM </t>
  </si>
  <si>
    <t xml:space="preserve">LFQO </t>
  </si>
  <si>
    <t xml:space="preserve">LFQR </t>
  </si>
  <si>
    <t xml:space="preserve">LFQS </t>
  </si>
  <si>
    <t xml:space="preserve">LFQU </t>
  </si>
  <si>
    <t xml:space="preserve">LFQX </t>
  </si>
  <si>
    <t xml:space="preserve">LFQY </t>
  </si>
  <si>
    <t xml:space="preserve">LFQZ </t>
  </si>
  <si>
    <t xml:space="preserve">LFOY </t>
  </si>
  <si>
    <t xml:space="preserve">LFOD </t>
  </si>
  <si>
    <t xml:space="preserve">LFOE </t>
  </si>
  <si>
    <t xml:space="preserve">LFOF </t>
  </si>
  <si>
    <t xml:space="preserve">LFOH </t>
  </si>
  <si>
    <t xml:space="preserve">LFOI </t>
  </si>
  <si>
    <t xml:space="preserve">LFOJ </t>
  </si>
  <si>
    <t xml:space="preserve">LFOK </t>
  </si>
  <si>
    <t>Villefranche-de-Rouergue Airport</t>
  </si>
  <si>
    <t>Villefranche-de-Rouergue</t>
  </si>
  <si>
    <t>Villeneuve-sur-Lot Airport</t>
  </si>
  <si>
    <t>Villeneuve-sur-Lot</t>
  </si>
  <si>
    <t>Castelsarrazin Moissac Airport</t>
  </si>
  <si>
    <t>Castelsarrasin</t>
  </si>
  <si>
    <t>Royan Medis Airport</t>
  </si>
  <si>
    <t>Royan</t>
  </si>
  <si>
    <t>Mimizan Airport</t>
  </si>
  <si>
    <t>Mimizan</t>
  </si>
  <si>
    <t>Aire-sur-l'Adour Airport</t>
  </si>
  <si>
    <t>Aire-sur-l'Adour</t>
  </si>
  <si>
    <t>Montauban Airport</t>
  </si>
  <si>
    <t>Montauban</t>
  </si>
  <si>
    <t xml:space="preserve">LFMX </t>
  </si>
  <si>
    <t xml:space="preserve">LFMZ </t>
  </si>
  <si>
    <t xml:space="preserve">LFNC </t>
  </si>
  <si>
    <t xml:space="preserve">LFND </t>
  </si>
  <si>
    <t xml:space="preserve">LFNE </t>
  </si>
  <si>
    <t xml:space="preserve">LFNF </t>
  </si>
  <si>
    <t xml:space="preserve">LFNG </t>
  </si>
  <si>
    <t xml:space="preserve">LFNH </t>
  </si>
  <si>
    <t xml:space="preserve">LFNJ </t>
  </si>
  <si>
    <t xml:space="preserve">LFNL </t>
  </si>
  <si>
    <t xml:space="preserve">LFNO </t>
  </si>
  <si>
    <t xml:space="preserve">LFNP </t>
  </si>
  <si>
    <t xml:space="preserve">LFLE </t>
  </si>
  <si>
    <t xml:space="preserve">LFLG </t>
  </si>
  <si>
    <t xml:space="preserve">LFLK </t>
  </si>
  <si>
    <t xml:space="preserve">LFLR </t>
  </si>
  <si>
    <t xml:space="preserve">LFLT </t>
  </si>
  <si>
    <t xml:space="preserve">LFLZ </t>
  </si>
  <si>
    <t xml:space="preserve">LFMA </t>
  </si>
  <si>
    <t xml:space="preserve">LFMC </t>
  </si>
  <si>
    <t xml:space="preserve">LFME </t>
  </si>
  <si>
    <t xml:space="preserve">LFMF </t>
  </si>
  <si>
    <t xml:space="preserve">LFIX </t>
  </si>
  <si>
    <t xml:space="preserve">LFIY </t>
  </si>
  <si>
    <t xml:space="preserve">LFJA </t>
  </si>
  <si>
    <t xml:space="preserve">LFJB </t>
  </si>
  <si>
    <t xml:space="preserve">LFJC </t>
  </si>
  <si>
    <t xml:space="preserve">LFJD </t>
  </si>
  <si>
    <t xml:space="preserve">LFJE </t>
  </si>
  <si>
    <t xml:space="preserve">LFJF </t>
  </si>
  <si>
    <t xml:space="preserve">LFJH </t>
  </si>
  <si>
    <t xml:space="preserve">LFJI </t>
  </si>
  <si>
    <t xml:space="preserve">LFJT </t>
  </si>
  <si>
    <t xml:space="preserve">LFJU </t>
  </si>
  <si>
    <t>Loudun</t>
  </si>
  <si>
    <t>Marmande virazeil Airport</t>
  </si>
  <si>
    <t>Marmande</t>
  </si>
  <si>
    <t>Rochefort Saint-Agnant Airport</t>
  </si>
  <si>
    <t>Rochefort</t>
  </si>
  <si>
    <t>Saint-Pierre-d'Oléron Airport</t>
  </si>
  <si>
    <t>Saint-Pierre-d'Oléron</t>
  </si>
  <si>
    <t>Castelnau Magnoac Airport</t>
  </si>
  <si>
    <t>Castelnau</t>
  </si>
  <si>
    <t>La Réole Floudes Airport</t>
  </si>
  <si>
    <t>La Réole</t>
  </si>
  <si>
    <t>Sarlat Domme Airport</t>
  </si>
  <si>
    <t>Sarlat</t>
  </si>
  <si>
    <t>Tarbes Laloubere Airport</t>
  </si>
  <si>
    <t>Lesparre Saint-Laurent Médoc Airport</t>
  </si>
  <si>
    <t>Lesparre-Médoc</t>
  </si>
  <si>
    <t>Couhé Verac Airport</t>
  </si>
  <si>
    <t>Couhé</t>
  </si>
  <si>
    <t>Chauvigny Airport</t>
  </si>
  <si>
    <t>Chauvigny</t>
  </si>
  <si>
    <t>Fumel Montayral Airport</t>
  </si>
  <si>
    <t>Fumel</t>
  </si>
  <si>
    <t>Bordeaux Yvrac Airport</t>
  </si>
  <si>
    <t>Belle Île Airport</t>
  </si>
  <si>
    <t>Belle Île</t>
  </si>
  <si>
    <t>Dinan Trelivan Airport</t>
  </si>
  <si>
    <t>Dinan</t>
  </si>
  <si>
    <t>Ouessant Airport</t>
  </si>
  <si>
    <t>Ouessant</t>
  </si>
  <si>
    <t>Berck-sur-Mer</t>
  </si>
  <si>
    <t>Bagnoles-de-l'Orne Airport</t>
  </si>
  <si>
    <t>Bagnoles-de-l'Orne</t>
  </si>
  <si>
    <t>Rethel - Perthes Airport</t>
  </si>
  <si>
    <t>Laon - Chambry Airport</t>
  </si>
  <si>
    <t>Laon</t>
  </si>
  <si>
    <t>Péronne - Saint-Quentin Airport</t>
  </si>
  <si>
    <t>Péronne</t>
  </si>
  <si>
    <t>Nangis - Les Loges Airport</t>
  </si>
  <si>
    <t>Nangis</t>
  </si>
  <si>
    <t>Argentan Airport</t>
  </si>
  <si>
    <t>Argentan</t>
  </si>
  <si>
    <t>Dunkerque - Les Moëres Airport</t>
  </si>
  <si>
    <t>Dunkerque</t>
  </si>
  <si>
    <t>Thoree Les Pins Airport</t>
  </si>
  <si>
    <t>La Flèche</t>
  </si>
  <si>
    <t>Berck-sur-Mer Airport</t>
  </si>
  <si>
    <t xml:space="preserve">EBKH </t>
  </si>
  <si>
    <t xml:space="preserve">EBLE </t>
  </si>
  <si>
    <t xml:space="preserve">EBMB </t>
  </si>
  <si>
    <t xml:space="preserve">EBNM </t>
  </si>
  <si>
    <t xml:space="preserve">EBSG </t>
  </si>
  <si>
    <t xml:space="preserve">EBSH </t>
  </si>
  <si>
    <t xml:space="preserve">EBSL </t>
  </si>
  <si>
    <t xml:space="preserve">EBSP </t>
  </si>
  <si>
    <t>Île d'Yeu Airport</t>
  </si>
  <si>
    <t>Île d'Yeu</t>
  </si>
  <si>
    <t>Nancy Malzeville Airport</t>
  </si>
  <si>
    <t>Buno Bonnevaux Airport</t>
  </si>
  <si>
    <t>Buno</t>
  </si>
  <si>
    <t>Mantes Cherence Airport</t>
  </si>
  <si>
    <t>Mantes</t>
  </si>
  <si>
    <t>Saint-André-de-l'Eure Airport</t>
  </si>
  <si>
    <t>Saint-André-de-l'Eure</t>
  </si>
  <si>
    <t>Enghien Moisselles Airport</t>
  </si>
  <si>
    <t>Enghien</t>
  </si>
  <si>
    <t>La Ferté-Gaucher Airport</t>
  </si>
  <si>
    <t>La Ferté-Gaucher</t>
  </si>
  <si>
    <t>Château-Thierry Belleau Airport</t>
  </si>
  <si>
    <t>Château-Thierry</t>
  </si>
  <si>
    <t>Ancenis Airport</t>
  </si>
  <si>
    <t>Ancenis</t>
  </si>
  <si>
    <t>Joinville Mussey Airport</t>
  </si>
  <si>
    <t>Joinville</t>
  </si>
  <si>
    <t xml:space="preserve">LFCC </t>
  </si>
  <si>
    <t xml:space="preserve">LFCE </t>
  </si>
  <si>
    <t xml:space="preserve">LFCH </t>
  </si>
  <si>
    <t xml:space="preserve">LFCI </t>
  </si>
  <si>
    <t xml:space="preserve">LFCK </t>
  </si>
  <si>
    <t xml:space="preserve">LFCR </t>
  </si>
  <si>
    <t xml:space="preserve">LFCY </t>
  </si>
  <si>
    <t xml:space="preserve">LFDB </t>
  </si>
  <si>
    <t>Agen - La Garenne Airport</t>
  </si>
  <si>
    <t>Agen</t>
  </si>
  <si>
    <t>Bordeaux - Merignac Airport</t>
  </si>
  <si>
    <t>Bordeaux</t>
  </si>
  <si>
    <t>Bergerac - Roumanière Airport</t>
  </si>
  <si>
    <t>Bergerac</t>
  </si>
  <si>
    <t>Cognac - Chateaubernard Airport</t>
  </si>
  <si>
    <t>Cognac</t>
  </si>
  <si>
    <t>La Rochelle - Île de Ré Airport</t>
  </si>
  <si>
    <t>La Rochelle</t>
  </si>
  <si>
    <t>Poitiers - Biard Airport</t>
  </si>
  <si>
    <t>Poitiers</t>
  </si>
  <si>
    <t>Châteauneuf-sur-Cher Airport</t>
  </si>
  <si>
    <t>Châteauneuf-sur-Cher</t>
  </si>
  <si>
    <t>Vierzon Mereau Airport</t>
  </si>
  <si>
    <t>Vierzon</t>
  </si>
  <si>
    <t>Montaigu saint georges Airport</t>
  </si>
  <si>
    <t>Montaigu</t>
  </si>
  <si>
    <t>Tournus Cruisery Airport</t>
  </si>
  <si>
    <t>Tournus</t>
  </si>
  <si>
    <t>Etrepagny Airport</t>
  </si>
  <si>
    <t>Etrepagny</t>
  </si>
  <si>
    <t>Arcachon La Teste-de-Buch Airport</t>
  </si>
  <si>
    <t>Arcachon</t>
  </si>
  <si>
    <t>Albi Le Sequestre Airport</t>
  </si>
  <si>
    <t>Albi</t>
  </si>
  <si>
    <t>Jonzac Neulles Airport</t>
  </si>
  <si>
    <t>Jonzac</t>
  </si>
  <si>
    <t>Castres-Mazamet Airport</t>
  </si>
  <si>
    <t>Castres, Mazamet</t>
  </si>
  <si>
    <t>Toulouse-Lasbordes Airport</t>
  </si>
  <si>
    <t>Millau Larzac Airport</t>
  </si>
  <si>
    <t>Millau</t>
  </si>
  <si>
    <t>Nogaro Airport</t>
  </si>
  <si>
    <t>Nogaro</t>
  </si>
  <si>
    <t>Figeac Livernon Airport</t>
  </si>
  <si>
    <t>Figeac</t>
  </si>
  <si>
    <t>Saint-Girons Antichan Airport</t>
  </si>
  <si>
    <t>Saint-Girons</t>
  </si>
  <si>
    <t xml:space="preserve">LFKB </t>
  </si>
  <si>
    <t xml:space="preserve">LFKC </t>
  </si>
  <si>
    <t xml:space="preserve">LFKF </t>
  </si>
  <si>
    <t xml:space="preserve">LFKJ </t>
  </si>
  <si>
    <t xml:space="preserve">LFKS </t>
  </si>
  <si>
    <t xml:space="preserve">LFKX </t>
  </si>
  <si>
    <t xml:space="preserve">LFKZ </t>
  </si>
  <si>
    <t xml:space="preserve">LFLA </t>
  </si>
  <si>
    <t xml:space="preserve">LFLB </t>
  </si>
  <si>
    <t xml:space="preserve">LFLC </t>
  </si>
  <si>
    <t xml:space="preserve">LFLD </t>
  </si>
  <si>
    <t xml:space="preserve">LFLH </t>
  </si>
  <si>
    <t xml:space="preserve">LFLI </t>
  </si>
  <si>
    <t xml:space="preserve">LFLJ </t>
  </si>
  <si>
    <t xml:space="preserve">LFLL </t>
  </si>
  <si>
    <t xml:space="preserve">LFLM </t>
  </si>
  <si>
    <t xml:space="preserve">LFLN </t>
  </si>
  <si>
    <t xml:space="preserve">LFLO </t>
  </si>
  <si>
    <t xml:space="preserve">LFLP </t>
  </si>
  <si>
    <t xml:space="preserve">LFLQ </t>
  </si>
  <si>
    <t xml:space="preserve">LFLS </t>
  </si>
  <si>
    <t xml:space="preserve">LFLU </t>
  </si>
  <si>
    <t xml:space="preserve">LFLV </t>
  </si>
  <si>
    <t xml:space="preserve">LFLW </t>
  </si>
  <si>
    <t xml:space="preserve">LFLX </t>
  </si>
  <si>
    <t xml:space="preserve">LFLY </t>
  </si>
  <si>
    <t xml:space="preserve">LFMD </t>
  </si>
  <si>
    <t xml:space="preserve">LFMH </t>
  </si>
  <si>
    <t xml:space="preserve">LFMI </t>
  </si>
  <si>
    <t xml:space="preserve">LFMK </t>
  </si>
  <si>
    <t xml:space="preserve">LFML </t>
  </si>
  <si>
    <t xml:space="preserve">LFMM </t>
  </si>
  <si>
    <t xml:space="preserve">LFMN </t>
  </si>
  <si>
    <t xml:space="preserve">LFMO </t>
  </si>
  <si>
    <t xml:space="preserve">LFMP </t>
  </si>
  <si>
    <t xml:space="preserve">LFMQ </t>
  </si>
  <si>
    <t xml:space="preserve">LFMR </t>
  </si>
  <si>
    <t xml:space="preserve">LFMS </t>
  </si>
  <si>
    <t xml:space="preserve">LFMT </t>
  </si>
  <si>
    <t xml:space="preserve">LFMU </t>
  </si>
  <si>
    <t xml:space="preserve">LFMV </t>
  </si>
  <si>
    <t xml:space="preserve">LFNA </t>
  </si>
  <si>
    <t xml:space="preserve">LFNB </t>
  </si>
  <si>
    <t xml:space="preserve">LFNQ </t>
  </si>
  <si>
    <t xml:space="preserve">LFOB </t>
  </si>
  <si>
    <t>Saint-Dié Remomeix Airport</t>
  </si>
  <si>
    <t>Saint-Dié</t>
  </si>
  <si>
    <t>Nuits-Saint-Georges Airport</t>
  </si>
  <si>
    <t>Nuits-Saint-Georges</t>
  </si>
  <si>
    <t>Issoire Le Broc Airport</t>
  </si>
  <si>
    <t>Issoire</t>
  </si>
  <si>
    <t>Pérouges Meximieux Airport</t>
  </si>
  <si>
    <t>Pérouges</t>
  </si>
  <si>
    <t>Pierrelate Airport</t>
  </si>
  <si>
    <t>Pierrelatte</t>
  </si>
  <si>
    <t>Romans Saint-Paul Airport</t>
  </si>
  <si>
    <t>Romans-sur-Isère</t>
  </si>
  <si>
    <t>Ruoms Airport</t>
  </si>
  <si>
    <t>Ruoms</t>
  </si>
  <si>
    <t>Saint-Chamond L'Horme Airport</t>
  </si>
  <si>
    <t>Saint-Chamond</t>
  </si>
  <si>
    <t>Vienne Reventin Airport</t>
  </si>
  <si>
    <t>Vienne</t>
  </si>
  <si>
    <t>Morestel Airport</t>
  </si>
  <si>
    <t>Morestel</t>
  </si>
  <si>
    <t>Montendre Marcillac Airport</t>
  </si>
  <si>
    <t>Montendre</t>
  </si>
  <si>
    <t>Egletons Airport</t>
  </si>
  <si>
    <t>Égletons</t>
  </si>
  <si>
    <t>Sainte-Foy-la-Grande Airport</t>
  </si>
  <si>
    <t>Sainte-Foy-la-Grande</t>
  </si>
  <si>
    <t>Gaillac Lisle-sur-Tarn Airport</t>
  </si>
  <si>
    <t>Gaillac</t>
  </si>
  <si>
    <t>Auch Lamothe Airport</t>
  </si>
  <si>
    <t>Auch</t>
  </si>
  <si>
    <t>Libourne Artigues-de-Lussac Airport</t>
  </si>
  <si>
    <t>Libourne</t>
  </si>
  <si>
    <t>Pamiers Les Pujols Airport</t>
  </si>
  <si>
    <t>Pamiers</t>
  </si>
  <si>
    <t>Soulac-sur-Mer Airport</t>
  </si>
  <si>
    <t>Soulac-sur-Mer</t>
  </si>
  <si>
    <t>Loudun Airport</t>
  </si>
  <si>
    <t>Argenton-sur-Creuse</t>
  </si>
  <si>
    <t>Aubigny-sur-Nère Airport</t>
  </si>
  <si>
    <t>Aubigny-sur-Nère</t>
  </si>
  <si>
    <t>Briare Chatillon Airport</t>
  </si>
  <si>
    <t>Briare</t>
  </si>
  <si>
    <t>Châteauroux Villers Airport</t>
  </si>
  <si>
    <t>Châteauroux</t>
  </si>
  <si>
    <t>Issoudun Le Fay Airport</t>
  </si>
  <si>
    <t>Issoudun</t>
  </si>
  <si>
    <t>Le Blanc Airport</t>
  </si>
  <si>
    <t>Le Blanc</t>
  </si>
  <si>
    <t>Montargis Vimory Airport</t>
  </si>
  <si>
    <t>Montargis</t>
  </si>
  <si>
    <t>Tours Sorigny Airport</t>
  </si>
  <si>
    <t>Tours</t>
  </si>
  <si>
    <t>Rethel</t>
  </si>
  <si>
    <t>Albert-Picardie Airport</t>
  </si>
  <si>
    <t>Albert</t>
  </si>
  <si>
    <t>Montdidier Airport</t>
  </si>
  <si>
    <t>Montdidier</t>
  </si>
  <si>
    <t>Falaise - Monts d'Eraines Airport</t>
  </si>
  <si>
    <t>Falaise</t>
  </si>
  <si>
    <t>Le Touquet-Paris-Plage Airport</t>
  </si>
  <si>
    <t>Le Touquet-Paris-Plage</t>
  </si>
  <si>
    <t>Vauville Airport</t>
  </si>
  <si>
    <t>Vauville</t>
  </si>
  <si>
    <t>Denain Airport</t>
  </si>
  <si>
    <t>Valenciennes</t>
  </si>
  <si>
    <t>Villerupt Airport</t>
  </si>
  <si>
    <t>Villerupt</t>
  </si>
  <si>
    <t>Mortagne-au-Perche Airport</t>
  </si>
  <si>
    <t>Mortagne-au-Perche</t>
  </si>
  <si>
    <t>Amiens-Glisy Airport</t>
  </si>
  <si>
    <t>Amiens</t>
  </si>
  <si>
    <t>Saint-Brieuc Airport</t>
  </si>
  <si>
    <t>Saint-Brieuc</t>
  </si>
  <si>
    <t>Quiberon</t>
  </si>
  <si>
    <t>Redon Bains-sur-Oust Airport</t>
  </si>
  <si>
    <t>Redon</t>
  </si>
  <si>
    <t>Guiscriff Scaer Airport</t>
  </si>
  <si>
    <t>Guiscriff</t>
  </si>
  <si>
    <t>Til-Châtel Airport</t>
  </si>
  <si>
    <t>Til-Châtel</t>
  </si>
  <si>
    <t>Bar-le-Duc Airport</t>
  </si>
  <si>
    <t>Bar-le-Duc</t>
  </si>
  <si>
    <t>Gray Saint-Adrien Airport</t>
  </si>
  <si>
    <t>Gray</t>
  </si>
  <si>
    <t>Saulieu Liernais Airport</t>
  </si>
  <si>
    <t>Saulieu</t>
  </si>
  <si>
    <t>Nancy Azelot Airport</t>
  </si>
  <si>
    <t>Nancy</t>
  </si>
  <si>
    <t>Metz Nancy Lorraine Airport</t>
  </si>
  <si>
    <t>Metz</t>
  </si>
  <si>
    <t>Angers - Loire Airport</t>
  </si>
  <si>
    <t>Angers</t>
  </si>
  <si>
    <t>Soissons Courmelles Airport</t>
  </si>
  <si>
    <t>Soissons</t>
  </si>
  <si>
    <t>Tours Le Louroux Airport</t>
  </si>
  <si>
    <t>Lurcy Levis Airport</t>
  </si>
  <si>
    <t>Lurcy</t>
  </si>
  <si>
    <t>Albertville Airport</t>
  </si>
  <si>
    <t>Albertville</t>
  </si>
  <si>
    <t>Bastia Poretta Airport</t>
  </si>
  <si>
    <t>Bastia</t>
  </si>
  <si>
    <t>Calvi Sainte-Catherine Airport</t>
  </si>
  <si>
    <t>Calvi</t>
  </si>
  <si>
    <t>Sollières-Sardières Airport</t>
  </si>
  <si>
    <t>Sollières-Sardières</t>
  </si>
  <si>
    <t>Saint-Jean-en-Royans Airport</t>
  </si>
  <si>
    <t>Saint-Jean-en-Royans</t>
  </si>
  <si>
    <t>Fontenay-le-Comte Airport</t>
  </si>
  <si>
    <t>Fontenay-le-Comte</t>
  </si>
  <si>
    <t>Bailleau-Armenonville Airport</t>
  </si>
  <si>
    <t>Bailleau-Armenonville</t>
  </si>
  <si>
    <t>Lamotte-Beuvron Airport</t>
  </si>
  <si>
    <t>Lamotte-Beuvron</t>
  </si>
  <si>
    <t>Brienne-le-Château Airport</t>
  </si>
  <si>
    <t>Brienne-le-Château</t>
  </si>
  <si>
    <t>Pithiviers Airport</t>
  </si>
  <si>
    <t>Pithiviers</t>
  </si>
  <si>
    <t>La Ferté-Alais Airport</t>
  </si>
  <si>
    <t>La Ferté-Alais</t>
  </si>
  <si>
    <t>Bar-sur-Seine Airport</t>
  </si>
  <si>
    <t>Bar-sur-Seine</t>
  </si>
  <si>
    <t>Neufchateau Rouceux Airport</t>
  </si>
  <si>
    <t>Neufchâteau</t>
  </si>
  <si>
    <t>Dôle-Tavaux Airport</t>
  </si>
  <si>
    <t>Dole</t>
  </si>
  <si>
    <t>Joigny Airport</t>
  </si>
  <si>
    <t>Joigny</t>
  </si>
  <si>
    <t>Lons-le-Saunier Courlaoux Airport</t>
  </si>
  <si>
    <t>Belley</t>
  </si>
  <si>
    <t>Saint-Claude Pratz Airport</t>
  </si>
  <si>
    <t>Saint-Claude</t>
  </si>
  <si>
    <t>Oloron Herere Airport</t>
  </si>
  <si>
    <t>Oloron</t>
  </si>
  <si>
    <t>Pons Avy Airport</t>
  </si>
  <si>
    <t>Pons</t>
  </si>
  <si>
    <t>Graulhet Montdragon Airport</t>
  </si>
  <si>
    <t>Graulhet</t>
  </si>
  <si>
    <t>Rodez Marcillac Airport</t>
  </si>
  <si>
    <t>Rodez</t>
  </si>
  <si>
    <t>Bordeaux Leognan saucats Airport</t>
  </si>
  <si>
    <t>Thouars Airport</t>
  </si>
  <si>
    <t>Thouars</t>
  </si>
  <si>
    <t>Ussel Thalamy Airport</t>
  </si>
  <si>
    <t>Ussel, Thalamy</t>
  </si>
  <si>
    <t>Lons-le-Saunier</t>
  </si>
  <si>
    <t>Montceau-les-Mines Pouilloux Airport</t>
  </si>
  <si>
    <t>Montceau-les-Mines</t>
  </si>
  <si>
    <t>Paray-le-Monial Airport</t>
  </si>
  <si>
    <t>Paray-le-Monial</t>
  </si>
  <si>
    <t>Pont-sur-Yonne Airport</t>
  </si>
  <si>
    <t>Pont-sur-Yonne</t>
  </si>
  <si>
    <t>Saint-Florentin Cheu Airport</t>
  </si>
  <si>
    <t>Saint-Florentin</t>
  </si>
  <si>
    <t>Semur-en-Auxois Airport</t>
  </si>
  <si>
    <t>Semur-en-Auxois</t>
  </si>
  <si>
    <t>Doncourt-lès-Conflans Airport</t>
  </si>
  <si>
    <t>Doncourt-lès-Conflans</t>
  </si>
  <si>
    <t>Longuyon Villette Airport</t>
  </si>
  <si>
    <t>Longuyon</t>
  </si>
  <si>
    <t>Sarrebourg Buhl Airport</t>
  </si>
  <si>
    <t>Sarrebourg</t>
  </si>
  <si>
    <t>Sarreguemines Neunkirch Airport</t>
  </si>
  <si>
    <t>Sarreguemines</t>
  </si>
  <si>
    <t>Thionville Yutz Airport</t>
  </si>
  <si>
    <t>Thionville</t>
  </si>
  <si>
    <t>Verdun Le Rozelier Airport</t>
  </si>
  <si>
    <t>Verdun</t>
  </si>
  <si>
    <t>Champagnole Crotenay Airport</t>
  </si>
  <si>
    <t>Champagnole</t>
  </si>
  <si>
    <t>Nîmes</t>
  </si>
  <si>
    <t>Fayence-Tourrettes Airfield</t>
  </si>
  <si>
    <t>Fayence</t>
  </si>
  <si>
    <t>La Montagne Noire Airport</t>
  </si>
  <si>
    <t>La Montagne Noire</t>
  </si>
  <si>
    <t>Brioude Beaumont Airport</t>
  </si>
  <si>
    <t>Brioude</t>
  </si>
  <si>
    <t>Bourg Ceyzeriat Airport</t>
  </si>
  <si>
    <t>Bourg-en-Bresse</t>
  </si>
  <si>
    <t>Ambert Le Poyet Airport</t>
  </si>
  <si>
    <t>Ambert</t>
  </si>
  <si>
    <t>LL'Alpe d'Huez Airport</t>
  </si>
  <si>
    <t>L'Alpe d'Huez</t>
  </si>
  <si>
    <t>Villefranche Tarare Airport</t>
  </si>
  <si>
    <t>Tarare</t>
  </si>
  <si>
    <t>Belleville Villie Morgon Airport</t>
  </si>
  <si>
    <t>Belleville, Rhône</t>
  </si>
  <si>
    <t>Lapalisse Perigny Airport</t>
  </si>
  <si>
    <t>Lapalisse</t>
  </si>
  <si>
    <t>Lyon Corbas Airport</t>
  </si>
  <si>
    <t>Lyon</t>
  </si>
  <si>
    <t>Langogne Lesperon Airport</t>
  </si>
  <si>
    <t>Langogne</t>
  </si>
  <si>
    <t>Megève Airport</t>
  </si>
  <si>
    <t>Megève</t>
  </si>
  <si>
    <t>Bellegarde Vouvray Airport</t>
  </si>
  <si>
    <t>Bellegarde</t>
  </si>
  <si>
    <t>Aubenas Ardeche Meridionale Airport</t>
  </si>
  <si>
    <t>Aubenas</t>
  </si>
  <si>
    <t>Le Puy Loudes Airport</t>
  </si>
  <si>
    <t>Le Puy-en-Velay</t>
  </si>
  <si>
    <t>Saint-Flour Coltines Airport</t>
  </si>
  <si>
    <t>Saint-Flour</t>
  </si>
  <si>
    <t>Pontivy Airport</t>
  </si>
  <si>
    <t>Pontivy</t>
  </si>
  <si>
    <t>Amboise Dierre Airport</t>
  </si>
  <si>
    <t>Amboise</t>
  </si>
  <si>
    <t>Argenton-sur-Creuse Airport</t>
  </si>
  <si>
    <t>Saint-Malo</t>
  </si>
  <si>
    <t>Pouilly Maconge Airport</t>
  </si>
  <si>
    <t>Pouilly-en-Auxois</t>
  </si>
  <si>
    <t>Quiberon Airport</t>
  </si>
  <si>
    <t>Condom</t>
  </si>
  <si>
    <t>SSaint-Affrique Belmont Airport</t>
  </si>
  <si>
    <t>Saint-Affrique</t>
  </si>
  <si>
    <t>Cassagnes Beghones Airport</t>
  </si>
  <si>
    <t>Cassagnes-Bégonhès</t>
  </si>
  <si>
    <t>Chalais Airport</t>
  </si>
  <si>
    <t>Chalais</t>
  </si>
  <si>
    <t>Ribérac Saint-Aulaye Airport</t>
  </si>
  <si>
    <t>Ribérac</t>
  </si>
  <si>
    <t>Rion-des-Landes Airport</t>
  </si>
  <si>
    <t>Rion-des-Landes</t>
  </si>
  <si>
    <t>Saint-Gaudens Montrejeau Airport</t>
  </si>
  <si>
    <t>Saint-Gaudens</t>
  </si>
  <si>
    <t>Toulouse-Montaudran Airport</t>
  </si>
  <si>
    <t>Toulouse-Montaudran</t>
  </si>
  <si>
    <t>Peyresourde Balestas Airport</t>
  </si>
  <si>
    <t>Peyresourde</t>
  </si>
  <si>
    <t>Revel Montgey Airport</t>
  </si>
  <si>
    <t>Revel</t>
  </si>
  <si>
    <t>Toulouse Bourg-Saint-Bernard Airport</t>
  </si>
  <si>
    <t>Vendays-Montalivet Airport</t>
  </si>
  <si>
    <t>Vendays-Montalivet</t>
  </si>
  <si>
    <t>Itxassou Airport</t>
  </si>
  <si>
    <t>Itxassou</t>
  </si>
  <si>
    <t>Saint-Jean-d'Angély Airport</t>
  </si>
  <si>
    <t>Saint-Jean-d'Angély</t>
  </si>
  <si>
    <t>Chaumont Semoutiers Airport</t>
  </si>
  <si>
    <t>Chaumont</t>
  </si>
  <si>
    <t>Mauléon Airport</t>
  </si>
  <si>
    <t>Mauléon</t>
  </si>
  <si>
    <t>Clamecy Airport</t>
  </si>
  <si>
    <t>Clamecy</t>
  </si>
  <si>
    <t>Corlier Aerodrome</t>
  </si>
  <si>
    <t>Corlier</t>
  </si>
  <si>
    <t>La Motte-Chalancon Airport</t>
  </si>
  <si>
    <t>La Motte-Chalancon</t>
  </si>
  <si>
    <t>Aubenasson Airport</t>
  </si>
  <si>
    <t>Aubenasson</t>
  </si>
  <si>
    <t>Cazeres Palaminy Airport</t>
  </si>
  <si>
    <t>Cazères</t>
  </si>
  <si>
    <t>Marennes Airport</t>
  </si>
  <si>
    <t>Marennes</t>
  </si>
  <si>
    <t>Saint-Galmier</t>
  </si>
  <si>
    <t>Propriano Airport</t>
  </si>
  <si>
    <t>Propriano</t>
  </si>
  <si>
    <t>La Tour-du-Pin Cessieu Airport</t>
  </si>
  <si>
    <t>La Tour-du-Pin</t>
  </si>
  <si>
    <t>Solenzara Airport</t>
  </si>
  <si>
    <t>Solenzara</t>
  </si>
  <si>
    <t>Corte Airport</t>
  </si>
  <si>
    <t>Corte</t>
  </si>
  <si>
    <t>Meribel Bois-des-Fraisses Airport</t>
  </si>
  <si>
    <t>Méribel</t>
  </si>
  <si>
    <t>Belley Peyrieu Airport</t>
  </si>
  <si>
    <t>Chartres Champhol Airport</t>
  </si>
  <si>
    <t>Chartres</t>
  </si>
  <si>
    <t>Saint-Valery Vittefleur Airport</t>
  </si>
  <si>
    <t>Saint-Valery</t>
  </si>
  <si>
    <t>Tours Val de Loire Airport</t>
  </si>
  <si>
    <t>Cholet Le Pontreau Airport</t>
  </si>
  <si>
    <t>Cholet</t>
  </si>
  <si>
    <t>Laval Entrammes Airport</t>
  </si>
  <si>
    <t>Sézanne Saint-Remy Airport</t>
  </si>
  <si>
    <t>Sézanne</t>
  </si>
  <si>
    <t>Colmar Houssen Airport</t>
  </si>
  <si>
    <t>Colmar</t>
  </si>
  <si>
    <t>Mulhouse Habsheim Airport</t>
  </si>
  <si>
    <t>Mulhouse</t>
  </si>
  <si>
    <t>Strasbourg Neuhof Airport</t>
  </si>
  <si>
    <t>Strasbourg</t>
  </si>
  <si>
    <t>Arbois Airport</t>
  </si>
  <si>
    <t>Arbois</t>
  </si>
  <si>
    <t>Avallon Airport</t>
  </si>
  <si>
    <t>Avallon</t>
  </si>
  <si>
    <t>Beaune Challanges Airport</t>
  </si>
  <si>
    <t>Beaune</t>
  </si>
  <si>
    <t>Belfort Chaux Airport</t>
  </si>
  <si>
    <t>Belfort</t>
  </si>
  <si>
    <t>Cosne-sur-Loire Airport</t>
  </si>
  <si>
    <t>Cosne-Cours-sur-Loire</t>
  </si>
  <si>
    <t>Dijon Darois Airport</t>
  </si>
  <si>
    <t>Dijon</t>
  </si>
  <si>
    <t>Chambéry Challes-les-Eaux Airport</t>
  </si>
  <si>
    <t>Chambéry</t>
  </si>
  <si>
    <t>Grenoble - Le Versoud Aerodrome</t>
  </si>
  <si>
    <t>Grenoble</t>
  </si>
  <si>
    <t>Chalon Champforgeuil Airport</t>
  </si>
  <si>
    <t>Chalon</t>
  </si>
  <si>
    <t>Annemasse Airport</t>
  </si>
  <si>
    <t>Annemasse</t>
  </si>
  <si>
    <t>Courchevel Airport</t>
  </si>
  <si>
    <t>Courchevel</t>
  </si>
  <si>
    <t>Oyonnax Arbent Airport</t>
  </si>
  <si>
    <t>Oyonnax</t>
  </si>
  <si>
    <t>Lyon-Saint Exupéry Airport (formerly Satolas Airport)</t>
  </si>
  <si>
    <t>Mâcon Charnay Airport</t>
  </si>
  <si>
    <t>Mâcon</t>
  </si>
  <si>
    <t>Saint-Yan Airport</t>
  </si>
  <si>
    <t>Saint-Yan</t>
  </si>
  <si>
    <t>Roanne Renaison Airport</t>
  </si>
  <si>
    <t>Roanne</t>
  </si>
  <si>
    <t>Annecy Meythet Airport</t>
  </si>
  <si>
    <t>Annecy</t>
  </si>
  <si>
    <t>Montélimar Ancone Airport</t>
  </si>
  <si>
    <t>Montélimar</t>
  </si>
  <si>
    <t>Saint-Rambert-d'Albon Airport</t>
  </si>
  <si>
    <t>Saint-Rambert-d'Albon</t>
  </si>
  <si>
    <t>Grenoble Saint-Geoirs Airport</t>
  </si>
  <si>
    <t>Montluçon Domerat Airport</t>
  </si>
  <si>
    <t>Valence Chabeuil Airport</t>
  </si>
  <si>
    <t>Valence</t>
  </si>
  <si>
    <t>Vichy Charmeil Airport</t>
  </si>
  <si>
    <t>Vichy</t>
  </si>
  <si>
    <t>Aurillac Airport</t>
  </si>
  <si>
    <t>Aurillac</t>
  </si>
  <si>
    <t>Châteauroux-Déols Airport</t>
  </si>
  <si>
    <t>Châteauroux, Déols</t>
  </si>
  <si>
    <t>Lyon Bron Airport</t>
  </si>
  <si>
    <t>Feurs Chambeon Airport</t>
  </si>
  <si>
    <t>Feurs</t>
  </si>
  <si>
    <t>Aix Les Milles Airport</t>
  </si>
  <si>
    <t>Aix-les-Milles</t>
  </si>
  <si>
    <t>Le Luc - Le Cannet Airport</t>
  </si>
  <si>
    <t>Le Luc</t>
  </si>
  <si>
    <t>Cannes Mandelieu Airport</t>
  </si>
  <si>
    <t>Cannes</t>
  </si>
  <si>
    <t>Nîmes Courbessac Airport</t>
  </si>
  <si>
    <t>Romilly-sur-Seine</t>
  </si>
  <si>
    <t>Vitry-en-Artois Airport</t>
  </si>
  <si>
    <t>Vitry-en-Artois</t>
  </si>
  <si>
    <t>Merville Calonne Airport</t>
  </si>
  <si>
    <t>Merville / Hazebrouck</t>
  </si>
  <si>
    <t>Sarre-Union Airport</t>
  </si>
  <si>
    <t>Sarre-Union</t>
  </si>
  <si>
    <t>Charleville-Mézières Airport</t>
  </si>
  <si>
    <t>Charleville-Mézières</t>
  </si>
  <si>
    <t>Vesoul Frotey Airport</t>
  </si>
  <si>
    <t>Vesoul</t>
  </si>
  <si>
    <t>Juvancourt Airport</t>
  </si>
  <si>
    <t>Juvancourt</t>
  </si>
  <si>
    <t>Saverne Steinbourg Airport</t>
  </si>
  <si>
    <t>Saverne</t>
  </si>
  <si>
    <t>Dieuze Gueblange Airport</t>
  </si>
  <si>
    <t>Dieuze</t>
  </si>
  <si>
    <t>Angers Avrille Airport</t>
  </si>
  <si>
    <t>Angers (closed in 2003)</t>
  </si>
  <si>
    <t>Moulins Montbeugny Airport</t>
  </si>
  <si>
    <t>Moulins</t>
  </si>
  <si>
    <t>Sallanches Mont-Blanc Airport</t>
  </si>
  <si>
    <t>Sallanches</t>
  </si>
  <si>
    <t>Belvès Saint-Pardoux Airport</t>
  </si>
  <si>
    <t>Belvès</t>
  </si>
  <si>
    <t>Condom Valence-sur-Baise Airport</t>
  </si>
  <si>
    <t>Montpellier-Méditerranée Airport</t>
  </si>
  <si>
    <t>Montpellier</t>
  </si>
  <si>
    <t>Béziers-Agde-Vias Airport</t>
  </si>
  <si>
    <t>Béziers</t>
  </si>
  <si>
    <t>Avignon Caumont Airport</t>
  </si>
  <si>
    <t>Avignon</t>
  </si>
  <si>
    <t>Castelnaudary Villeneuve Airport</t>
  </si>
  <si>
    <t>Castelnaudary</t>
  </si>
  <si>
    <t>Chateau-Arnoux Saint-Auban Airport</t>
  </si>
  <si>
    <t>Saint-Servan Airport</t>
  </si>
  <si>
    <t>Aspres-sur-Buech Airport</t>
  </si>
  <si>
    <t>Aspres-sur-Buëch</t>
  </si>
  <si>
    <t>Saint-Martin-de-Londres Airport</t>
  </si>
  <si>
    <t>Saint-Martin-de-Londres</t>
  </si>
  <si>
    <t>Florac Sainte-Enimie Airport</t>
  </si>
  <si>
    <t>Florac</t>
  </si>
  <si>
    <t>Pézenas Nizas Airport</t>
  </si>
  <si>
    <t>Pézenas</t>
  </si>
  <si>
    <t>Mont-Louis La Quillane Airport</t>
  </si>
  <si>
    <t>Mont-Louis</t>
  </si>
  <si>
    <t>Berre La Fare Airport</t>
  </si>
  <si>
    <t>Berre</t>
  </si>
  <si>
    <t>Sisteron Theze Airport</t>
  </si>
  <si>
    <t>Sisteron</t>
  </si>
  <si>
    <t>Avignon Pujaut Airport</t>
  </si>
  <si>
    <t>Uzès Airport</t>
  </si>
  <si>
    <t>Uzès</t>
  </si>
  <si>
    <t>Valréas Visan Airport</t>
  </si>
  <si>
    <t>Valréas</t>
  </si>
  <si>
    <t>Puivert Airport</t>
  </si>
  <si>
    <t>Puivert</t>
  </si>
  <si>
    <t>Bédarieux La Tour-sur-Orb Airport</t>
  </si>
  <si>
    <t>Bédarieux</t>
  </si>
  <si>
    <t>Le Mazet-de-Romanin Airport</t>
  </si>
  <si>
    <t>Le Mazet</t>
  </si>
  <si>
    <t>Beauvais Tillé Airport</t>
  </si>
  <si>
    <t>Beauvais</t>
  </si>
  <si>
    <t>Châteaudun Air Base</t>
  </si>
  <si>
    <t>Châteaudun</t>
  </si>
  <si>
    <t>Saumur Saint-Florent Airport</t>
  </si>
  <si>
    <t>Saumur</t>
  </si>
  <si>
    <t>Évreux Fauville Airport</t>
  </si>
  <si>
    <t>Évreux</t>
  </si>
  <si>
    <t>Alençon Valframbert Airport</t>
  </si>
  <si>
    <t>Alençon</t>
  </si>
  <si>
    <t>Figari Sud Corse Airport</t>
  </si>
  <si>
    <t>Figari</t>
  </si>
  <si>
    <t>Ghisonaccia Alzitone Airport</t>
  </si>
  <si>
    <t>Ghisonaccia</t>
  </si>
  <si>
    <t>Saint-Jean-d'Avelanne Airport</t>
  </si>
  <si>
    <t>Saint-Jean-d'Avelanne</t>
  </si>
  <si>
    <t>Ajaccio Campo dell'Oro Airport</t>
  </si>
  <si>
    <t>Ajaccio</t>
  </si>
  <si>
    <t>Lyon Brindas Airport</t>
  </si>
  <si>
    <t>Saint Galmier Airport</t>
  </si>
  <si>
    <t>Marignane Berre Airport</t>
  </si>
  <si>
    <t>Marignane</t>
  </si>
  <si>
    <t>Cuers Pierrefeu Airport</t>
  </si>
  <si>
    <t>Cuers</t>
  </si>
  <si>
    <t>Hyères Le Palyvestre Airport</t>
  </si>
  <si>
    <t>Toulon</t>
  </si>
  <si>
    <t>Serres La Batie Montsaleon Airport</t>
  </si>
  <si>
    <t>Serres-la-Batie</t>
  </si>
  <si>
    <t>La Grand'Combe Airport</t>
  </si>
  <si>
    <t>La Grand'Combe</t>
  </si>
  <si>
    <t>Puimoisson Airport</t>
  </si>
  <si>
    <t>Puimoisson</t>
  </si>
  <si>
    <t>Persan, Beaumont</t>
  </si>
  <si>
    <t>Paris Le Bourget Airport</t>
  </si>
  <si>
    <t>Paris</t>
  </si>
  <si>
    <t>Creil Airport</t>
  </si>
  <si>
    <t>Creil</t>
  </si>
  <si>
    <t>Bernay Saint-Martin Airport</t>
  </si>
  <si>
    <t>Bernay</t>
  </si>
  <si>
    <t>Meaux Esbly Airport</t>
  </si>
  <si>
    <t>Meaux</t>
  </si>
  <si>
    <t>Laval</t>
  </si>
  <si>
    <t>Saint-Quentin Roupy Airport</t>
  </si>
  <si>
    <t>Saint-Quentin</t>
  </si>
  <si>
    <t>Étampes Montdesir Airport</t>
  </si>
  <si>
    <t>Étampes</t>
  </si>
  <si>
    <t>Le Havre Saint-Romain Airport</t>
  </si>
  <si>
    <t>Orléans Saint-Denis-de-l'Hotel Airport</t>
  </si>
  <si>
    <t>Persan-Beaumont Airport</t>
  </si>
  <si>
    <t>Auxerre Branches Airport</t>
  </si>
  <si>
    <t>Auxerre</t>
  </si>
  <si>
    <t>Chambéry Aix-les-Bains Airport</t>
  </si>
  <si>
    <t>Chambéry, Aix-les-Bains</t>
  </si>
  <si>
    <t>Clermont-Ferrand Auvergne Airport</t>
  </si>
  <si>
    <t>Clermont-Ferrand</t>
  </si>
  <si>
    <t>Bourges Airport</t>
  </si>
  <si>
    <t>Bourges</t>
  </si>
  <si>
    <t>Le Plessis-Belleville Airport</t>
  </si>
  <si>
    <t>Le Plessis-Belleville</t>
  </si>
  <si>
    <t>Fontenay Tresigny Airport</t>
  </si>
  <si>
    <t>Fontenay-Trésigny</t>
  </si>
  <si>
    <t>Pontoise - Cormeilles-en-Vexin Airport</t>
  </si>
  <si>
    <t>Pontoise</t>
  </si>
  <si>
    <t>Moret Episy Airport</t>
  </si>
  <si>
    <t>Moret-sur-Loing</t>
  </si>
  <si>
    <t>Vélizy - Villacoublay Air Base</t>
  </si>
  <si>
    <t>Villacoublay</t>
  </si>
  <si>
    <t>Chavenay Villepreux Airport</t>
  </si>
  <si>
    <t>Chavenay</t>
  </si>
  <si>
    <t>Brétigny-sur-Orge Air Base</t>
  </si>
  <si>
    <t>Bretigny-sur-Orge</t>
  </si>
  <si>
    <t>Saint-Cyr-l'École Airport</t>
  </si>
  <si>
    <t>Saint-Cyr-l'École</t>
  </si>
  <si>
    <t>Saint-Étienne Bouthéon Airport</t>
  </si>
  <si>
    <t>Saint-Étienne</t>
  </si>
  <si>
    <t>Istres Le Tube Airport</t>
  </si>
  <si>
    <t>Istres</t>
  </si>
  <si>
    <t>Carcassonne Salvaza Airport</t>
  </si>
  <si>
    <t>Carcassonne</t>
  </si>
  <si>
    <t>Marseille Provence Airport</t>
  </si>
  <si>
    <t>Marseille</t>
  </si>
  <si>
    <t>Marseille FIR</t>
  </si>
  <si>
    <t>Aix-en-Provence</t>
  </si>
  <si>
    <t>Nice Côte d'Azur Airport</t>
  </si>
  <si>
    <t>Nice</t>
  </si>
  <si>
    <t>Orange Caritat Airport</t>
  </si>
  <si>
    <t>Orange</t>
  </si>
  <si>
    <t>Perpignan Rivesaltes Airport</t>
  </si>
  <si>
    <t>Perpignan</t>
  </si>
  <si>
    <t>Le Castellet Airport</t>
  </si>
  <si>
    <t>Le Castellet</t>
  </si>
  <si>
    <t>Barcelonnette Saint-Pons Airport</t>
  </si>
  <si>
    <t>Barcelonnette</t>
  </si>
  <si>
    <t>Alès Deaux Airport</t>
  </si>
  <si>
    <t>Alès</t>
  </si>
  <si>
    <t>Saint-Omer Wizernes Airport</t>
  </si>
  <si>
    <t>Saint-Omer</t>
  </si>
  <si>
    <t>Lille Marcq-en-Baroeul Airport</t>
  </si>
  <si>
    <t>Lille</t>
  </si>
  <si>
    <t>Lille Lesquin Airport</t>
  </si>
  <si>
    <t>Romilly-sur-Seine Airport</t>
  </si>
  <si>
    <t>Leopoldsburg</t>
  </si>
  <si>
    <t>Melsbroek Air Base</t>
  </si>
  <si>
    <t>Brussels</t>
  </si>
  <si>
    <t>Suarlee Airport</t>
  </si>
  <si>
    <t>Namur</t>
  </si>
  <si>
    <t>Ostend-Bruges International Airport</t>
  </si>
  <si>
    <t>Brest Bretagne Airport</t>
  </si>
  <si>
    <t>Brest</t>
  </si>
  <si>
    <t>Cherbourg Maupertus Airport</t>
  </si>
  <si>
    <t>Cherbourg</t>
  </si>
  <si>
    <t>Dinard Pleurtuit Saint-Malo Airport</t>
  </si>
  <si>
    <t>Dinard</t>
  </si>
  <si>
    <t>La Baule-Escoublac Airport</t>
  </si>
  <si>
    <t>La Baule-Escoublac</t>
  </si>
  <si>
    <t>Granville Airport</t>
  </si>
  <si>
    <t>Granville</t>
  </si>
  <si>
    <t>Deauville Saint-Gatien Airport</t>
  </si>
  <si>
    <t>Deauville</t>
  </si>
  <si>
    <t>Lorient South Brittany Airport</t>
  </si>
  <si>
    <t>Lorient</t>
  </si>
  <si>
    <t>Chateau-Arnoux</t>
  </si>
  <si>
    <t>Lezignan Corbieres Airport</t>
  </si>
  <si>
    <t>Lézignan-Corbières</t>
  </si>
  <si>
    <t>Gap Tallard Airport</t>
  </si>
  <si>
    <t>Gap</t>
  </si>
  <si>
    <t>Mende Brenoux Airport</t>
  </si>
  <si>
    <t>Mende</t>
  </si>
  <si>
    <t>Mont-Dauphin Saint-Crepin Airport</t>
  </si>
  <si>
    <t>Mont-Dauphin</t>
  </si>
  <si>
    <t>Pont-Saint-Esprit Airport</t>
  </si>
  <si>
    <t>Pont-Saint-Esprit</t>
  </si>
  <si>
    <t>Salon Eyguieres Airport</t>
  </si>
  <si>
    <t>Salon</t>
  </si>
  <si>
    <t>Vinon Airport</t>
  </si>
  <si>
    <t>Vinon</t>
  </si>
  <si>
    <t>Montpellier Candillargues Airport</t>
  </si>
  <si>
    <t>Carpentras Airport</t>
  </si>
  <si>
    <t>Carpentras</t>
  </si>
  <si>
    <t>Saint-Brieuc - Armor Airport</t>
  </si>
  <si>
    <t>Morlaix Ploujean Airport</t>
  </si>
  <si>
    <t>Flers Saint-Paul Airport</t>
  </si>
  <si>
    <t>Flers</t>
  </si>
  <si>
    <t>Le Havre Octeville Airport</t>
  </si>
  <si>
    <t>Le Havre</t>
  </si>
  <si>
    <t>Abbeville - Buigny-Saint-Maclou Aerodrome</t>
  </si>
  <si>
    <t>Abbeville</t>
  </si>
  <si>
    <t>Orléans - Bricy Air Base</t>
  </si>
  <si>
    <t>Orléans</t>
  </si>
  <si>
    <t>Châlons Vatry Airport</t>
  </si>
  <si>
    <t>Châlons-en-Champagne</t>
  </si>
  <si>
    <t>L'Aigle Saint-Michel Airport</t>
  </si>
  <si>
    <t>L'Aigle</t>
  </si>
  <si>
    <t>Lessay Airport</t>
  </si>
  <si>
    <t>Lessay</t>
  </si>
  <si>
    <t>Vernouillet Airport</t>
  </si>
  <si>
    <t>Dreux</t>
  </si>
  <si>
    <t>Les Sables-d'Olonne Talmont Airport</t>
  </si>
  <si>
    <t>Les Sables-d'Olonne</t>
  </si>
  <si>
    <t>Rouen Vallée de Seine Airport</t>
  </si>
  <si>
    <t>Rouen</t>
  </si>
  <si>
    <t>Blois Le Breuil Airport</t>
  </si>
  <si>
    <t>Blois</t>
  </si>
  <si>
    <t>Vitry-le-François Vauclerc Airport</t>
  </si>
  <si>
    <t>Vitry-le-François</t>
  </si>
  <si>
    <t>Montbéliard Courcelles Airport</t>
  </si>
  <si>
    <t>Montbéliard</t>
  </si>
  <si>
    <t>Nancy Essey Airport</t>
  </si>
  <si>
    <t>Pontarlier Airport</t>
  </si>
  <si>
    <t>Pontarlier</t>
  </si>
  <si>
    <t>Belfort Fontaine Airport</t>
  </si>
  <si>
    <t>Reims Champagne Airport</t>
  </si>
  <si>
    <t>Strasbourg Entzheim Airport</t>
  </si>
  <si>
    <t>Langres Rolampont Airport</t>
  </si>
  <si>
    <t>Langres</t>
  </si>
  <si>
    <t>Pont-Saint-Vincent Airport</t>
  </si>
  <si>
    <t>Pont-Saint-Vincent</t>
  </si>
  <si>
    <t>Épernay Plivot Airport</t>
  </si>
  <si>
    <t>Épernay</t>
  </si>
  <si>
    <t>Chaumont - La Vendue Airport</t>
  </si>
  <si>
    <t>Vittel Champ-de-Courses Airport</t>
  </si>
  <si>
    <t>Vittel</t>
  </si>
  <si>
    <t>Chateaubriant Pouance Airport</t>
  </si>
  <si>
    <t>Châteaubriant</t>
  </si>
  <si>
    <t>Toulon-St. Mandrier Heliport</t>
  </si>
  <si>
    <t>Saint-Mandrier-sur-Mer</t>
  </si>
  <si>
    <t>Frejus Saint-Raphael Airport</t>
  </si>
  <si>
    <t>Frejus</t>
  </si>
  <si>
    <t>Nîmes-Alès-Camargue-Cévennes Airport (Garons Airport)</t>
  </si>
  <si>
    <t>La Mole Airport</t>
  </si>
  <si>
    <t>La Mole</t>
  </si>
  <si>
    <t>Ambérieu-en-Bugey Air Base</t>
  </si>
  <si>
    <t>Ambérieu-en-Bugey</t>
  </si>
  <si>
    <t>Saintes Thenac Airport</t>
  </si>
  <si>
    <t>Saintes</t>
  </si>
  <si>
    <t>Mourmelon Airport</t>
  </si>
  <si>
    <t>Mourmelon</t>
  </si>
  <si>
    <t>Narbonne Airport</t>
  </si>
  <si>
    <t>Narbonne</t>
  </si>
  <si>
    <t>Les Mureaux Airport</t>
  </si>
  <si>
    <t>Les Mureaux</t>
  </si>
  <si>
    <t>Cambrai Niergnies Airport</t>
  </si>
  <si>
    <t>Beynes Thiverval Airport</t>
  </si>
  <si>
    <t>Beynes</t>
  </si>
  <si>
    <t>Paris Charles de Gaulle Airport (Roissy Airport)</t>
  </si>
  <si>
    <t>Chelles Le Pin Airport</t>
  </si>
  <si>
    <t>Chelles</t>
  </si>
  <si>
    <t>Paris Issy-les-Moulineaux Airport</t>
  </si>
  <si>
    <t>Coulommiers-Voisins Airport</t>
  </si>
  <si>
    <t>Coulommiers</t>
  </si>
  <si>
    <t>Lognes Emerainville Airport</t>
  </si>
  <si>
    <t>Lognes</t>
  </si>
  <si>
    <t>Melun-Villaroche Airport</t>
  </si>
  <si>
    <t>Melun</t>
  </si>
  <si>
    <t>Toussus-le-Noble Airport</t>
  </si>
  <si>
    <t>Toussus-le-Noble</t>
  </si>
  <si>
    <t>Paris Orly Airport</t>
  </si>
  <si>
    <t>Orly (near Paris)</t>
  </si>
  <si>
    <t>Châtillon-sur-Seine</t>
  </si>
  <si>
    <t>Cambrai Epinoy Airport</t>
  </si>
  <si>
    <t>Cambrai</t>
  </si>
  <si>
    <t>Maubeuge Elesmes Airport</t>
  </si>
  <si>
    <t>Maubeuge</t>
  </si>
  <si>
    <t>Chalons Ecury-sur-Coole Airport</t>
  </si>
  <si>
    <t>Lens Benifontaine Airport</t>
  </si>
  <si>
    <t>Lens</t>
  </si>
  <si>
    <t>Besançon La Veze Airport</t>
  </si>
  <si>
    <t>Besançon</t>
  </si>
  <si>
    <t>Zoersel / Oostmalle</t>
  </si>
  <si>
    <t>Zoersel-Oostmalle Airfield</t>
    <phoneticPr fontId="2" type="noConversion"/>
  </si>
  <si>
    <t>Antwerp / Deurne</t>
  </si>
  <si>
    <t>Beauvechain Air Base</t>
  </si>
  <si>
    <t>Beauvechain</t>
  </si>
  <si>
    <t>Kleine Brogel Air Base</t>
  </si>
  <si>
    <t>Kleine Brogel</t>
  </si>
  <si>
    <t>Brussels Airport</t>
  </si>
  <si>
    <t>Brussels / Zaventem</t>
  </si>
  <si>
    <t>Brasschaat Airfield</t>
  </si>
  <si>
    <t>Brasschaat</t>
  </si>
  <si>
    <t>Jehonville Air Base</t>
  </si>
  <si>
    <t>Bertrix</t>
  </si>
  <si>
    <t>Baisy-Thy Ulmodrome</t>
  </si>
  <si>
    <t>Buzet Ulmodrome</t>
  </si>
  <si>
    <t>Brussels South Charleroi Airport</t>
  </si>
  <si>
    <t>Charleroi</t>
  </si>
  <si>
    <t>Cerfontaine Airfield</t>
  </si>
  <si>
    <t>Cerfontaine</t>
  </si>
  <si>
    <t>Chievres AB (U.S. Air Force)</t>
  </si>
  <si>
    <t>Chievres</t>
  </si>
  <si>
    <t>Koksijde AB</t>
  </si>
  <si>
    <t>Koksijde</t>
  </si>
  <si>
    <t>Florennes Air Base</t>
  </si>
  <si>
    <t>Florennes</t>
  </si>
  <si>
    <t>Grimbergen Airfield</t>
  </si>
  <si>
    <t>Grimbergen</t>
  </si>
  <si>
    <t>Hoevenen Airfield</t>
  </si>
  <si>
    <t>Hoevenen</t>
  </si>
  <si>
    <t>Balen-Keiheuvel Airport</t>
  </si>
  <si>
    <t>Balen-Keiheuvel</t>
  </si>
  <si>
    <t>Kortrijk-Wevelgem International Airport</t>
  </si>
  <si>
    <t>Kortrijk / Wevelgem</t>
  </si>
  <si>
    <t>Liege Airport</t>
  </si>
  <si>
    <t>Liège</t>
  </si>
  <si>
    <t>Beverlo Air Base</t>
  </si>
  <si>
    <t>Romorantin Pruniers Airport</t>
  </si>
  <si>
    <t>Romorantin</t>
  </si>
  <si>
    <t>Sainte-Léocadie Airport</t>
  </si>
  <si>
    <t>Sainte-Léocadie</t>
  </si>
  <si>
    <t>Amougies airfield</t>
  </si>
  <si>
    <t/>
  </si>
  <si>
    <t>Antwerp International Airport</t>
  </si>
  <si>
    <t>Reims-Prunay Airport</t>
  </si>
  <si>
    <t>Reims</t>
  </si>
  <si>
    <t>Troyes Barberey Airport</t>
  </si>
  <si>
    <t>Troyes</t>
  </si>
  <si>
    <t>Lunéville-Croismare Airport</t>
  </si>
  <si>
    <t>Lunéville</t>
  </si>
  <si>
    <t>Arras Roclincourt Airport</t>
  </si>
  <si>
    <t>Arras</t>
  </si>
  <si>
    <t>Autun Bellevue Airport</t>
  </si>
  <si>
    <t>Autun</t>
  </si>
  <si>
    <t>Nevers Fourchambault Airport</t>
  </si>
  <si>
    <t>Nevers</t>
  </si>
  <si>
    <t>Châtillon-sur-Seine Airport</t>
  </si>
  <si>
    <t>Lunch at Golf Club with H</t>
    <phoneticPr fontId="0" type="noConversion"/>
  </si>
  <si>
    <t>La Roche-sur-Yon Les Ajoncs Airport</t>
  </si>
  <si>
    <t>La Roche-sur-Yon</t>
  </si>
  <si>
    <t>Landivisiau Airport</t>
  </si>
  <si>
    <t>Landivisiau</t>
  </si>
  <si>
    <t>Caen Carpiquet Airport</t>
  </si>
  <si>
    <t>Caen</t>
  </si>
  <si>
    <t>Le Mans Arnage Airport</t>
  </si>
  <si>
    <t>Le Mans</t>
  </si>
  <si>
    <t>Rennes - Saint-Jacques Airport</t>
  </si>
  <si>
    <t>Rennes</t>
  </si>
  <si>
    <t>Lannion Airport</t>
  </si>
  <si>
    <t>Lannion</t>
  </si>
  <si>
    <t>Ploermel Loyat Airport</t>
  </si>
  <si>
    <t>Ploërmel</t>
  </si>
  <si>
    <t>Quimper Pluguffan Airport</t>
  </si>
  <si>
    <t>Quimper</t>
  </si>
  <si>
    <t>Nantes Atlantique Airport (formerly Aéroport Château Bougon)</t>
  </si>
  <si>
    <t>Nantes</t>
  </si>
  <si>
    <t>Ostend</t>
  </si>
  <si>
    <t>Saint-Ghislain AB</t>
  </si>
  <si>
    <t>Saint-Ghislain</t>
  </si>
  <si>
    <t>Saint-Hubert Airport</t>
  </si>
  <si>
    <t>Saint-Hubert</t>
  </si>
  <si>
    <t>Zutendaal AB</t>
  </si>
  <si>
    <t>Zutendaal</t>
  </si>
  <si>
    <t>La Sauveniere Airport</t>
  </si>
  <si>
    <t>Spa</t>
  </si>
  <si>
    <t>Sint-Truiden AB</t>
  </si>
  <si>
    <t>Sint-Truiden</t>
  </si>
  <si>
    <t>Saint-Hubert Air Base</t>
  </si>
  <si>
    <t>Goetsenhoven AB</t>
  </si>
  <si>
    <t>Goetsenhoven</t>
  </si>
  <si>
    <t>Verviers Airport</t>
  </si>
  <si>
    <t>Theux</t>
  </si>
  <si>
    <t>Maubray Airport</t>
  </si>
  <si>
    <t>Tournai</t>
  </si>
  <si>
    <t>Ursel AB</t>
  </si>
  <si>
    <t>Ursel</t>
  </si>
  <si>
    <t>Weelde Air Base</t>
  </si>
  <si>
    <t>Weelde</t>
  </si>
  <si>
    <t>Kiewit Airfield</t>
  </si>
  <si>
    <t>Hasselt</t>
  </si>
  <si>
    <t>Zwartberg Airfield</t>
  </si>
  <si>
    <t>Genk</t>
  </si>
  <si>
    <t>Morlaix</t>
  </si>
  <si>
    <t>Vannes-Meucon Airport</t>
  </si>
  <si>
    <t>Vannes</t>
  </si>
  <si>
    <t>Avranches Le Val Saint-Pere Airport</t>
  </si>
  <si>
    <t>Avranches</t>
  </si>
  <si>
    <t>Saint-Nazaire Montoir Airport</t>
  </si>
  <si>
    <t>Saint-Nazaire</t>
  </si>
  <si>
    <t>Besançon Thise Airport</t>
  </si>
  <si>
    <t>Bâle Mulhouse Airport (EuroAirport Basel-Mulhouse-Freiburg)</t>
  </si>
  <si>
    <t>Basel (Switzerland) / Mulhouse</t>
  </si>
  <si>
    <t>Dijon Bourgogne - Longvic Airport</t>
  </si>
  <si>
    <t>Epinal dogneville Airport</t>
  </si>
  <si>
    <t>Epinal</t>
  </si>
  <si>
    <t>Metz Frescaty Airport</t>
  </si>
  <si>
    <t>Épinal Mirecourt Airport</t>
  </si>
  <si>
    <t>Épinal</t>
  </si>
  <si>
    <t>Haguenau Airport</t>
  </si>
  <si>
    <t>Haguenau</t>
  </si>
  <si>
    <t>Sedan Douzy Airport</t>
  </si>
  <si>
    <t>Sedan</t>
  </si>
  <si>
    <t>Check Ride 1+1</t>
  </si>
  <si>
    <t>GEVTO</t>
  </si>
  <si>
    <t>First flight for a while.  Handling (3+1)</t>
  </si>
  <si>
    <t>Ilett</t>
  </si>
  <si>
    <t>GBUIY</t>
  </si>
  <si>
    <t>Navex - Drink in The propellor</t>
  </si>
  <si>
    <t>EGHU</t>
  </si>
  <si>
    <t>PFL &amp; 2+1</t>
  </si>
  <si>
    <t>GELZY</t>
  </si>
  <si>
    <t>Circuits: 8+1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</si>
</sst>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0.0"/>
  </numFmts>
  <fonts count="5" x14ac:knownFonts="1">
    <font>
      <sz val="10"/>
      <name val="Arial"/>
    </font>
    <font>
      <b/>
      <sz val="10"/>
      <name val="Arial"/>
    </font>
    <font>
      <sz val="8"/>
      <name val="Verdana"/>
    </font>
    <font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5" fontId="0" fillId="0" borderId="0" xfId="0" applyNumberFormat="1"/>
    <xf numFmtId="20" fontId="0" fillId="0" borderId="0" xfId="0" applyNumberFormat="1"/>
    <xf numFmtId="15" fontId="0" fillId="0" borderId="1" xfId="0" applyNumberFormat="1" applyBorder="1"/>
    <xf numFmtId="0" fontId="0" fillId="0" borderId="1" xfId="0" applyBorder="1"/>
    <xf numFmtId="20" fontId="0" fillId="0" borderId="1" xfId="0" applyNumberForma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1" xfId="0" applyNumberForma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5" fontId="0" fillId="2" borderId="0" xfId="0" applyNumberFormat="1" applyFill="1"/>
    <xf numFmtId="20" fontId="0" fillId="3" borderId="0" xfId="0" applyNumberFormat="1" applyFill="1"/>
    <xf numFmtId="0" fontId="0" fillId="0" borderId="0" xfId="0" quotePrefix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center"/>
    </xf>
    <xf numFmtId="15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20" fontId="0" fillId="0" borderId="2" xfId="0" applyNumberFormat="1" applyBorder="1"/>
    <xf numFmtId="20" fontId="0" fillId="0" borderId="2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 wrapText="1"/>
    </xf>
    <xf numFmtId="165" fontId="0" fillId="0" borderId="2" xfId="0" applyNumberFormat="1" applyBorder="1" applyAlignment="1">
      <alignment horizontal="center"/>
    </xf>
    <xf numFmtId="15" fontId="3" fillId="0" borderId="0" xfId="0" applyNumberFormat="1" applyFont="1"/>
    <xf numFmtId="0" fontId="3" fillId="0" borderId="0" xfId="0" applyFont="1"/>
    <xf numFmtId="20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164" fontId="0" fillId="0" borderId="3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9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52">
    <dxf>
      <font>
        <condense val="0"/>
        <extend val="0"/>
        <color indexed="9"/>
      </font>
      <fill>
        <patternFill>
          <bgColor indexed="9"/>
        </patternFill>
      </fill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25.74239201389" createdVersion="7" refreshedVersion="7" recordCount="609" xr:uid="{00000000-000A-0000-FFFF-FFFF0E000000}">
  <cacheSource type="worksheet">
    <worksheetSource ref="A5:Y614" sheet="Log Book"/>
  </cacheSource>
  <cacheFields count="25">
    <cacheField name="Date" numFmtId="15">
      <sharedItems containsNonDate="0" containsDate="1" containsString="0" containsBlank="1" minDate="1997-08-13T00:00:00" maxDate="2021-05-10T00:00:00"/>
    </cacheField>
    <cacheField name="Ttype" numFmtId="0">
      <sharedItems containsBlank="1" count="19">
        <s v="C152"/>
        <s v="PA28"/>
        <m/>
        <s v="PA28-235"/>
        <s v="AA-5"/>
        <s v="Archer-III"/>
        <s v="DHC-1"/>
        <s v="PA34"/>
        <s v="PA-32RT"/>
        <s v="FR-142"/>
        <s v="PA23"/>
        <s v="PA28R"/>
        <s v="PA38"/>
        <s v="T67C"/>
        <s v="C172"/>
        <s v="BE76"/>
        <s v="JP5A"/>
        <s v="EXTRA"/>
        <e v="#N/A"/>
      </sharedItems>
    </cacheField>
    <cacheField name="xxx" numFmtId="0">
      <sharedItems containsBlank="1"/>
    </cacheField>
    <cacheField name="xxy" numFmtId="0">
      <sharedItems containsBlank="1" count="5">
        <s v="S"/>
        <m/>
        <s v="T"/>
        <s v="SIM"/>
        <s v=""/>
      </sharedItems>
    </cacheField>
    <cacheField name="Type" numFmtId="0">
      <sharedItems containsBlank="1"/>
    </cacheField>
    <cacheField name="Reg" numFmtId="0">
      <sharedItems containsBlank="1" count="49">
        <s v="GLSMI"/>
        <s v="GBOIN"/>
        <s v="GBPTF"/>
        <s v="GBNNY"/>
        <m/>
        <s v="GBIEY"/>
        <s v="GRSKR"/>
        <s v="GBOTN"/>
        <s v="GBOKB"/>
        <s v="GBOJZ"/>
        <s v="GBPDU"/>
        <s v="GEKKL"/>
        <s v="GBUIK"/>
        <s v="GAWSM"/>
        <s v="GBBCZ"/>
        <s v="GBZHK"/>
        <s v="GBCAH"/>
        <s v="GBZHV"/>
        <s v="N8391S"/>
        <s v="GHCSL"/>
        <s v="GTFYN"/>
        <s v="N8351W"/>
        <s v="GBNEL"/>
        <s v="GBTDV"/>
        <s v="GRKSR"/>
        <s v="GSARA"/>
        <s v="GBSZT"/>
        <s v="GBUJO"/>
        <s v="GBASW"/>
        <s v="SIM"/>
        <s v="GLORD"/>
        <s v="GBCCE"/>
        <s v="GSACZ"/>
        <s v="GBZGA"/>
        <s v="GBMOE"/>
        <s v="GIEIO"/>
        <s v="GBTGU"/>
        <s v="GBYMD"/>
        <s v="GBOCL"/>
        <s v="GBMTS"/>
        <s v="GBHIL"/>
        <s v="GGDMW"/>
        <s v="GBUJP"/>
        <s v="GVIVM"/>
        <s v="GIIEX"/>
        <s v="GWARY"/>
        <s v="GOPUK"/>
        <s v="GEVTO"/>
        <s v="N2149F" u="1"/>
      </sharedItems>
    </cacheField>
    <cacheField name="Captain" numFmtId="0">
      <sharedItems containsBlank="1" count="30">
        <s v="Kingshott"/>
        <m/>
        <s v="Herlihy"/>
        <s v="N Hill"/>
        <s v="Self"/>
        <s v="Brownie"/>
        <s v="Powell"/>
        <s v="McKinnon"/>
        <s v="Vickers"/>
        <s v="Mitchell"/>
        <s v="Chowen"/>
        <s v="Harling"/>
        <s v="Rabson"/>
        <s v="Gwilliam"/>
        <s v="Marshall"/>
        <s v="Frampton"/>
        <s v="Whitehead"/>
        <s v="Westwood"/>
        <s v="Chapman"/>
        <s v="Terry"/>
        <s v="Gould"/>
        <s v="Wilton"/>
        <s v="East"/>
        <s v="A Hill"/>
        <s v="Rutherford"/>
        <s v="Batt"/>
        <s v="Ilett"/>
        <s v="Hill" u="1"/>
        <s v="Bob!" u="1"/>
        <s v="M. Vickers" u="1"/>
      </sharedItems>
    </cacheField>
    <cacheField name="Operating_x000a_Capacity" numFmtId="0">
      <sharedItems containsBlank="1"/>
    </cacheField>
    <cacheField name="From" numFmtId="0">
      <sharedItems containsBlank="1"/>
    </cacheField>
    <cacheField name="To" numFmtId="0">
      <sharedItems containsBlank="1" count="87">
        <s v="EGKA"/>
        <m/>
        <s v="EGMD"/>
        <s v="EGLS"/>
        <s v="EGHR"/>
        <s v="EGKB"/>
        <s v="EGMC"/>
        <s v="EGHA"/>
        <s v="EGTK"/>
        <s v="EGBW"/>
        <s v="EGBS"/>
        <s v="EGHJ"/>
        <s v="EGLM"/>
        <s v="EGHH"/>
        <s v="LFAT"/>
        <s v="EIWT"/>
        <s v="EGNT"/>
        <s v="EGLK"/>
        <s v="KTEB"/>
        <s v="EBOS"/>
        <s v="EGTE"/>
        <s v="KMMV"/>
        <s v="EGSM"/>
        <s v="EGSR"/>
        <s v="LFOP"/>
        <s v="LFAC"/>
        <s v="EGCV"/>
        <s v="EGTF"/>
        <s v="EGGD"/>
        <s v="LFRG"/>
        <s v="EGFF"/>
        <s v="EGHI"/>
        <s v="SIM"/>
        <s v="EGUS"/>
        <s v="EGBE"/>
        <s v="LFLB"/>
        <s v="EGBJ"/>
        <s v="EGCW"/>
        <s v="LFBK"/>
        <s v="EGJA"/>
        <s v="LFOQ"/>
        <s v="LFDS"/>
        <s v="Leeds"/>
        <s v="LFLP"/>
        <s v="LFFK"/>
        <s v="LFQA"/>
        <s v="EGWB"/>
        <s v="EGSX"/>
        <s v="EGHN"/>
        <s v="LFOD"/>
        <s v="North Weald" u="1"/>
        <s v="Lee on Solent" u="1"/>
        <s v="LFLB (Chambery)" u="1"/>
        <s v="Deauville" u="1"/>
        <s v="Annecy" u="1"/>
        <s v="Old Sarum" u="1"/>
        <s v="Beccles" u="1"/>
        <s v="Sleap" u="1"/>
        <s v="Exeter" u="1"/>
        <s v="LFBK (Montlucons)" u="1"/>
        <s v="Sarlat" u="1"/>
        <s v="Shobdon" u="1"/>
        <s v="Lydd" u="1"/>
        <s v="Alderney" u="1"/>
        <s v="Earles Colne" u="1"/>
        <s v="Newcastle" u="1"/>
        <s v="Fairoaks" u="1"/>
        <s v="Oxford" u="1"/>
        <s v="Blois" u="1"/>
        <s v="Compton Abbas" u="1"/>
        <s v="Calais" u="1"/>
        <s v="Southend" u="1"/>
        <s v="Blackbush" u="1"/>
        <s v="Weston" u="1"/>
        <s v="Bembridge" u="1"/>
        <s v="Oostende" u="1"/>
        <s v="White Waltham" u="1"/>
        <s v="Rouen" u="1"/>
        <s v="Fontenay" u="1"/>
        <s v="Bristol" u="1"/>
        <s v="Cardiff" u="1"/>
        <s v="Coventry" u="1"/>
        <s v="Gloucester" u="1"/>
        <s v="Bournemouth" u="1"/>
        <s v="Biggin Hill" u="1"/>
        <s v="Wellesbourne" u="1"/>
        <s v="Welshpool" u="1"/>
      </sharedItems>
    </cacheField>
    <cacheField name="Depart" numFmtId="20">
      <sharedItems containsNonDate="0" containsDate="1" containsString="0" containsBlank="1" minDate="1899-12-30T07:20:00" maxDate="1899-12-30T19:00:00"/>
    </cacheField>
    <cacheField name="Arrival" numFmtId="20">
      <sharedItems containsNonDate="0" containsDate="1" containsString="0" containsBlank="1" minDate="1899-12-30T08:25:00" maxDate="1899-12-30T20:37:00"/>
    </cacheField>
    <cacheField name="In_x000a_Command" numFmtId="20">
      <sharedItems containsNonDate="0" containsDate="1" containsString="0" containsBlank="1" minDate="1899-12-30T00:00:00" maxDate="1899-12-31T00:00:00"/>
    </cacheField>
    <cacheField name="Dual" numFmtId="20">
      <sharedItems containsNonDate="0" containsDate="1" containsString="0" containsBlank="1" minDate="1899-12-30T00:00:00" maxDate="1899-12-30T02:10:00"/>
    </cacheField>
    <cacheField name="In_x000a_Command2" numFmtId="20">
      <sharedItems containsNonDate="0" containsDate="1" containsString="0" containsBlank="1" minDate="1899-12-30T00:00:00" maxDate="1899-12-30T04:10:00"/>
    </cacheField>
    <cacheField name="Dual2" numFmtId="20">
      <sharedItems containsNonDate="0" containsDate="1" containsString="0" containsBlank="1" minDate="1899-12-30T00:00:00" maxDate="1899-12-31T00:00:00"/>
    </cacheField>
    <cacheField name="In_x000a_Command3" numFmtId="0">
      <sharedItems containsNonDate="0" containsDate="1" containsString="0" containsBlank="1" minDate="1899-12-30T00:25:00" maxDate="1899-12-30T02:27:00"/>
    </cacheField>
    <cacheField name="Dual3" numFmtId="0">
      <sharedItems containsNonDate="0" containsDate="1" containsString="0" containsBlank="1" minDate="1899-12-30T00:25:00" maxDate="1899-12-30T01:35:00"/>
    </cacheField>
    <cacheField name="In_x000a_Command4" numFmtId="0">
      <sharedItems containsNonDate="0" containsDate="1" containsString="0" containsBlank="1" minDate="1899-12-30T00:05:00" maxDate="1899-12-30T01:30:00"/>
    </cacheField>
    <cacheField name="Dual4" numFmtId="0">
      <sharedItems containsNonDate="0" containsString="0" containsBlank="1"/>
    </cacheField>
    <cacheField name="Instrument_x000a_Flying" numFmtId="165">
      <sharedItems containsString="0" containsBlank="1" containsNumber="1" minValue="0.1" maxValue="2.2999999999999998"/>
    </cacheField>
    <cacheField name="Instructor" numFmtId="0">
      <sharedItems containsNonDate="0" containsDate="1" containsString="0" containsBlank="1" minDate="1899-12-30T00:20:00" maxDate="1899-12-30T02:10:00"/>
    </cacheField>
    <cacheField name="Simulated" numFmtId="0">
      <sharedItems containsString="0" containsBlank="1" containsNumber="1" minValue="1" maxValue="2"/>
    </cacheField>
    <cacheField name="Flight Time" numFmtId="20">
      <sharedItems containsNonDate="0" containsDate="1" containsString="0" containsBlank="1" minDate="1899-12-30T00:00:00" maxDate="1899-12-30T04:10:00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">
  <r>
    <d v="1997-08-13T00:00:00"/>
    <x v="0"/>
    <s v="S"/>
    <x v="0"/>
    <s v="C152"/>
    <x v="0"/>
    <x v="0"/>
    <s v="PUT"/>
    <s v="EGKA"/>
    <x v="0"/>
    <d v="1899-12-30T19:00:00"/>
    <d v="1899-12-30T19:45:00"/>
    <d v="1899-12-30T00:00:00"/>
    <d v="1899-12-30T00:45:00"/>
    <m/>
    <m/>
    <m/>
    <m/>
    <m/>
    <m/>
    <m/>
    <m/>
    <m/>
    <d v="1899-12-30T00:45:00"/>
    <s v="Ex4.1, Ex3"/>
  </r>
  <r>
    <d v="1997-09-07T00:00:00"/>
    <x v="0"/>
    <s v="S"/>
    <x v="0"/>
    <s v="C152"/>
    <x v="1"/>
    <x v="0"/>
    <s v="PUT"/>
    <s v="EGKA"/>
    <x v="0"/>
    <d v="1899-12-30T11:30:00"/>
    <d v="1899-12-30T12:50:00"/>
    <d v="1899-12-30T00:00:00"/>
    <d v="1899-12-30T01:20:00"/>
    <m/>
    <m/>
    <m/>
    <m/>
    <m/>
    <m/>
    <m/>
    <m/>
    <m/>
    <d v="1899-12-30T01:20:00"/>
    <s v="Ex4.2, 6, 1, 2"/>
  </r>
  <r>
    <d v="1997-09-07T00:00:00"/>
    <x v="0"/>
    <s v="S"/>
    <x v="0"/>
    <s v="C152"/>
    <x v="2"/>
    <x v="0"/>
    <s v="PUT"/>
    <s v="EGKA"/>
    <x v="0"/>
    <d v="1899-12-30T18:10:00"/>
    <d v="1899-12-30T19:25:00"/>
    <d v="1899-12-30T00:00:00"/>
    <d v="1899-12-30T01:15:00"/>
    <m/>
    <m/>
    <m/>
    <m/>
    <m/>
    <m/>
    <m/>
    <m/>
    <m/>
    <d v="1899-12-30T01:15:00"/>
    <s v="Ex6.2, 7, 8, 5E"/>
  </r>
  <r>
    <d v="1997-09-14T00:00:00"/>
    <x v="0"/>
    <s v="S"/>
    <x v="0"/>
    <s v="C152"/>
    <x v="0"/>
    <x v="0"/>
    <s v="PUT"/>
    <s v="EGKA"/>
    <x v="0"/>
    <d v="1899-12-30T18:10:00"/>
    <d v="1899-12-30T19:20:00"/>
    <d v="1899-12-30T00:00:00"/>
    <d v="1899-12-30T01:10:00"/>
    <m/>
    <m/>
    <m/>
    <m/>
    <m/>
    <m/>
    <m/>
    <m/>
    <m/>
    <d v="1899-12-30T01:10:00"/>
    <s v="Ex8"/>
  </r>
  <r>
    <d v="1997-09-28T00:00:00"/>
    <x v="0"/>
    <s v="S"/>
    <x v="0"/>
    <s v="C152"/>
    <x v="2"/>
    <x v="0"/>
    <s v="PUT"/>
    <s v="EGKA"/>
    <x v="0"/>
    <d v="1899-12-30T14:10:00"/>
    <d v="1899-12-30T15:20:00"/>
    <d v="1899-12-30T00:00:00"/>
    <d v="1899-12-30T01:10:00"/>
    <m/>
    <m/>
    <m/>
    <m/>
    <m/>
    <m/>
    <m/>
    <m/>
    <m/>
    <d v="1899-12-30T01:10:00"/>
    <s v="Ex9"/>
  </r>
  <r>
    <d v="1997-10-24T00:00:00"/>
    <x v="0"/>
    <s v="S"/>
    <x v="0"/>
    <s v="C152"/>
    <x v="0"/>
    <x v="0"/>
    <s v="PUT"/>
    <s v="EGKA"/>
    <x v="0"/>
    <d v="1899-12-30T14:30:00"/>
    <d v="1899-12-30T15:30:00"/>
    <d v="1899-12-30T00:00:00"/>
    <d v="1899-12-30T01:00:00"/>
    <m/>
    <m/>
    <m/>
    <m/>
    <m/>
    <m/>
    <m/>
    <m/>
    <m/>
    <d v="1899-12-30T01:00:00"/>
    <s v="Revision Ex 5"/>
  </r>
  <r>
    <d v="1997-10-25T00:00:00"/>
    <x v="0"/>
    <s v="S"/>
    <x v="0"/>
    <s v="C152"/>
    <x v="2"/>
    <x v="0"/>
    <s v="PUT"/>
    <s v="EGKA"/>
    <x v="0"/>
    <d v="1899-12-30T10:35:00"/>
    <d v="1899-12-30T11:35:00"/>
    <d v="1899-12-30T00:00:00"/>
    <d v="1899-12-30T01:00:00"/>
    <m/>
    <m/>
    <m/>
    <m/>
    <m/>
    <m/>
    <m/>
    <m/>
    <m/>
    <d v="1899-12-30T01:00:00"/>
    <s v="Ex 9"/>
  </r>
  <r>
    <d v="1997-10-26T00:00:00"/>
    <x v="1"/>
    <s v="S"/>
    <x v="0"/>
    <s v="PA28"/>
    <x v="3"/>
    <x v="0"/>
    <s v="PUT"/>
    <s v="EGKA"/>
    <x v="0"/>
    <d v="1899-12-30T11:05:00"/>
    <d v="1899-12-30T12:10:00"/>
    <d v="1899-12-30T00:00:00"/>
    <d v="1899-12-30T01:05:00"/>
    <m/>
    <m/>
    <m/>
    <m/>
    <m/>
    <m/>
    <m/>
    <m/>
    <m/>
    <d v="1899-12-30T01:05:00"/>
    <s v="Ex 10, Revision"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1998-02-07T00:00:00"/>
    <x v="1"/>
    <s v="S"/>
    <x v="0"/>
    <s v="PA28"/>
    <x v="5"/>
    <x v="0"/>
    <s v="PUT"/>
    <s v="EGKA"/>
    <x v="0"/>
    <d v="1899-12-30T10:00:00"/>
    <d v="1899-12-30T11:00:00"/>
    <d v="1899-12-30T00:00:00"/>
    <d v="1899-12-30T01:00:00"/>
    <m/>
    <m/>
    <m/>
    <m/>
    <m/>
    <m/>
    <m/>
    <m/>
    <m/>
    <d v="1899-12-30T01:00:00"/>
    <s v="Revision"/>
  </r>
  <r>
    <d v="1998-02-07T00:00:00"/>
    <x v="1"/>
    <s v="S"/>
    <x v="0"/>
    <s v="PA28"/>
    <x v="5"/>
    <x v="0"/>
    <s v="PUT"/>
    <s v="EGKA"/>
    <x v="0"/>
    <d v="1899-12-30T16:00:00"/>
    <d v="1899-12-30T16:55:00"/>
    <d v="1899-12-30T00:00:00"/>
    <d v="1899-12-30T00:55:00"/>
    <m/>
    <m/>
    <m/>
    <m/>
    <m/>
    <m/>
    <m/>
    <m/>
    <m/>
    <d v="1899-12-30T00:55:00"/>
    <s v="Ex10b, (0:30) - Signed"/>
  </r>
  <r>
    <d v="1998-02-21T00:00:00"/>
    <x v="1"/>
    <s v="S"/>
    <x v="0"/>
    <s v="PA28"/>
    <x v="3"/>
    <x v="0"/>
    <s v="PUT"/>
    <s v="EGKA"/>
    <x v="0"/>
    <d v="1899-12-30T15:25:00"/>
    <d v="1899-12-30T15:40:00"/>
    <d v="1899-12-30T00:00:00"/>
    <d v="1899-12-30T00:15:00"/>
    <m/>
    <m/>
    <m/>
    <m/>
    <m/>
    <m/>
    <m/>
    <m/>
    <m/>
    <d v="1899-12-30T00:15:00"/>
    <s v="Ex 19, Aborted smoke in Cockpit"/>
  </r>
  <r>
    <d v="1998-02-22T00:00:00"/>
    <x v="1"/>
    <s v="S"/>
    <x v="0"/>
    <s v="PA28"/>
    <x v="3"/>
    <x v="0"/>
    <s v="PUT"/>
    <s v="EGKA"/>
    <x v="0"/>
    <d v="1899-12-30T14:15:00"/>
    <d v="1899-12-30T15:10:00"/>
    <d v="1899-12-30T00:00:00"/>
    <d v="1899-12-30T00:55:00"/>
    <m/>
    <m/>
    <m/>
    <m/>
    <m/>
    <m/>
    <n v="0.6"/>
    <m/>
    <m/>
    <d v="1899-12-30T00:55:00"/>
    <s v="Ex 19a, Signed"/>
  </r>
  <r>
    <d v="1998-03-22T00:00:00"/>
    <x v="1"/>
    <s v="S"/>
    <x v="0"/>
    <s v="PA28"/>
    <x v="6"/>
    <x v="0"/>
    <s v="PUT"/>
    <s v="EGKA"/>
    <x v="0"/>
    <d v="1899-12-30T12:00:00"/>
    <d v="1899-12-30T13:00:00"/>
    <d v="1899-12-30T00:00:00"/>
    <d v="1899-12-30T01:00:00"/>
    <m/>
    <m/>
    <m/>
    <m/>
    <m/>
    <m/>
    <m/>
    <m/>
    <m/>
    <d v="1899-12-30T01:00:00"/>
    <s v="Revision"/>
  </r>
  <r>
    <d v="1998-03-28T00:00:00"/>
    <x v="1"/>
    <s v="S"/>
    <x v="0"/>
    <s v="PA28"/>
    <x v="7"/>
    <x v="0"/>
    <s v="PUT"/>
    <s v="EGKA"/>
    <x v="0"/>
    <d v="1899-12-30T12:05:00"/>
    <d v="1899-12-30T13:05:00"/>
    <d v="1899-12-30T00:00:00"/>
    <d v="1899-12-30T01:00:00"/>
    <m/>
    <m/>
    <m/>
    <m/>
    <m/>
    <m/>
    <m/>
    <m/>
    <m/>
    <d v="1899-12-30T01:00:00"/>
    <s v="Ex10b2 - Stalling(0.5) - Signed"/>
  </r>
  <r>
    <d v="1998-03-29T00:00:00"/>
    <x v="1"/>
    <s v="S"/>
    <x v="0"/>
    <s v="PA28"/>
    <x v="3"/>
    <x v="0"/>
    <s v="PUT"/>
    <s v="EGKA"/>
    <x v="0"/>
    <d v="1899-12-30T17:45:00"/>
    <d v="1899-12-30T18:40:00"/>
    <d v="1899-12-30T00:00:00"/>
    <d v="1899-12-30T00:55:00"/>
    <m/>
    <m/>
    <m/>
    <m/>
    <m/>
    <m/>
    <n v="0.7"/>
    <m/>
    <m/>
    <d v="1899-12-30T00:55:00"/>
    <s v="Ex 19 - Signed"/>
  </r>
  <r>
    <d v="1998-04-07T00:00:00"/>
    <x v="1"/>
    <s v="S"/>
    <x v="0"/>
    <s v="PA28"/>
    <x v="3"/>
    <x v="0"/>
    <s v="PUT"/>
    <s v="EGKA"/>
    <x v="0"/>
    <d v="1899-12-30T15:10:00"/>
    <d v="1899-12-30T16:05:00"/>
    <d v="1899-12-30T00:00:00"/>
    <d v="1899-12-30T00:55:00"/>
    <m/>
    <m/>
    <m/>
    <m/>
    <m/>
    <m/>
    <m/>
    <m/>
    <m/>
    <d v="1899-12-30T00:55:00"/>
    <s v="Ex12, 13"/>
  </r>
  <r>
    <d v="1998-05-23T00:00:00"/>
    <x v="1"/>
    <s v="S"/>
    <x v="0"/>
    <s v="PA28"/>
    <x v="8"/>
    <x v="0"/>
    <s v="PUT"/>
    <s v="EGKA"/>
    <x v="0"/>
    <d v="1899-12-30T14:00:00"/>
    <d v="1899-12-30T14:55:00"/>
    <d v="1899-12-30T00:00:00"/>
    <d v="1899-12-30T00:55:00"/>
    <m/>
    <m/>
    <m/>
    <m/>
    <m/>
    <m/>
    <m/>
    <m/>
    <m/>
    <d v="1899-12-30T00:55:00"/>
    <s v="Revision"/>
  </r>
  <r>
    <d v="1998-05-24T00:00:00"/>
    <x v="1"/>
    <s v="S"/>
    <x v="0"/>
    <s v="PA28"/>
    <x v="5"/>
    <x v="0"/>
    <s v="PUT"/>
    <s v="EGKA"/>
    <x v="0"/>
    <d v="1899-12-30T14:10:00"/>
    <d v="1899-12-30T15:00:00"/>
    <d v="1899-12-30T00:00:00"/>
    <d v="1899-12-30T00:50:00"/>
    <m/>
    <m/>
    <m/>
    <m/>
    <m/>
    <m/>
    <m/>
    <m/>
    <m/>
    <d v="1899-12-30T00:50:00"/>
    <s v="Revision"/>
  </r>
  <r>
    <d v="1998-06-16T00:00:00"/>
    <x v="1"/>
    <s v="S"/>
    <x v="0"/>
    <s v="PA28"/>
    <x v="7"/>
    <x v="0"/>
    <s v="PUT"/>
    <s v="EGKA"/>
    <x v="0"/>
    <d v="1899-12-30T10:55:00"/>
    <d v="1899-12-30T11:45:00"/>
    <d v="1899-12-30T00:00:00"/>
    <d v="1899-12-30T00:50:00"/>
    <m/>
    <m/>
    <m/>
    <m/>
    <m/>
    <m/>
    <m/>
    <m/>
    <m/>
    <d v="1899-12-30T00:50:00"/>
    <s v="Revision"/>
  </r>
  <r>
    <d v="1998-07-04T00:00:00"/>
    <x v="1"/>
    <s v="S"/>
    <x v="0"/>
    <s v="PA28"/>
    <x v="9"/>
    <x v="2"/>
    <s v="PUT"/>
    <s v="EGKA"/>
    <x v="0"/>
    <d v="1899-12-30T16:55:00"/>
    <d v="1899-12-30T18:00:00"/>
    <d v="1899-12-30T00:00:00"/>
    <d v="1899-12-30T01:05:00"/>
    <m/>
    <m/>
    <m/>
    <m/>
    <m/>
    <m/>
    <m/>
    <m/>
    <m/>
    <d v="1899-12-30T01:05:00"/>
    <s v="Ex 12, 13, 6+1, Efato, Flapless"/>
  </r>
  <r>
    <d v="1998-07-17T00:00:00"/>
    <x v="1"/>
    <s v="S"/>
    <x v="0"/>
    <s v="PA28"/>
    <x v="9"/>
    <x v="0"/>
    <s v="PUT"/>
    <s v="EGKA"/>
    <x v="0"/>
    <d v="1899-12-30T13:55:00"/>
    <d v="1899-12-30T14:55:00"/>
    <d v="1899-12-30T00:00:00"/>
    <d v="1899-12-30T01:00:00"/>
    <m/>
    <m/>
    <m/>
    <m/>
    <m/>
    <m/>
    <m/>
    <m/>
    <m/>
    <d v="1899-12-30T01:00:00"/>
    <s v="Ex 12, 13, 6+1"/>
  </r>
  <r>
    <d v="1998-07-18T00:00:00"/>
    <x v="1"/>
    <s v="S"/>
    <x v="0"/>
    <s v="PA28"/>
    <x v="5"/>
    <x v="0"/>
    <s v="PUT"/>
    <s v="EGKA"/>
    <x v="0"/>
    <d v="1899-12-30T15:35:00"/>
    <d v="1899-12-30T16:35:00"/>
    <d v="1899-12-30T00:00:00"/>
    <d v="1899-12-30T01:00:00"/>
    <m/>
    <m/>
    <m/>
    <m/>
    <m/>
    <m/>
    <m/>
    <m/>
    <m/>
    <d v="1899-12-30T01:00:00"/>
    <s v="Ex 12, 13, 6+1"/>
  </r>
  <r>
    <d v="1998-08-11T00:00:00"/>
    <x v="1"/>
    <s v="S"/>
    <x v="0"/>
    <s v="PA28"/>
    <x v="8"/>
    <x v="0"/>
    <s v="PUT"/>
    <s v="EGKA"/>
    <x v="0"/>
    <d v="1899-12-30T12:25:00"/>
    <d v="1899-12-30T13:25:00"/>
    <d v="1899-12-30T00:00:00"/>
    <d v="1899-12-30T01:00:00"/>
    <m/>
    <m/>
    <m/>
    <m/>
    <m/>
    <m/>
    <m/>
    <m/>
    <m/>
    <d v="1899-12-30T01:00:00"/>
    <s v="Ex 12, 13, 6+2"/>
  </r>
  <r>
    <d v="1998-11-27T00:00:00"/>
    <x v="1"/>
    <s v="S"/>
    <x v="0"/>
    <s v="PA28"/>
    <x v="10"/>
    <x v="2"/>
    <s v="PUT"/>
    <s v="EGKA"/>
    <x v="0"/>
    <d v="1899-12-30T10:30:00"/>
    <d v="1899-12-30T11:35:00"/>
    <d v="1899-12-30T00:00:00"/>
    <d v="1899-12-30T01:05:00"/>
    <m/>
    <m/>
    <m/>
    <m/>
    <m/>
    <m/>
    <m/>
    <m/>
    <m/>
    <d v="1899-12-30T01:05:00"/>
    <s v="Ex 10a (Signed), Ex12, 13 3+1"/>
  </r>
  <r>
    <d v="1998-11-27T00:00:00"/>
    <x v="1"/>
    <s v="S"/>
    <x v="0"/>
    <s v="PA28"/>
    <x v="10"/>
    <x v="0"/>
    <s v="PUT"/>
    <s v="EGKA"/>
    <x v="0"/>
    <d v="1899-12-30T14:45:00"/>
    <d v="1899-12-30T15:20:00"/>
    <d v="1899-12-30T00:00:00"/>
    <d v="1899-12-30T00:35:00"/>
    <m/>
    <m/>
    <m/>
    <m/>
    <m/>
    <m/>
    <m/>
    <m/>
    <m/>
    <d v="1899-12-30T00:35:00"/>
    <s v="Ex 12, 13 2+1"/>
  </r>
  <r>
    <d v="1998-11-27T00:00:00"/>
    <x v="1"/>
    <s v="S"/>
    <x v="0"/>
    <s v="PA28"/>
    <x v="10"/>
    <x v="3"/>
    <s v="PUT"/>
    <s v="EGKA"/>
    <x v="0"/>
    <d v="1899-12-30T15:35:00"/>
    <d v="1899-12-30T16:10:00"/>
    <d v="1899-12-30T00:00:00"/>
    <d v="1899-12-30T00:35:00"/>
    <m/>
    <m/>
    <m/>
    <m/>
    <m/>
    <m/>
    <m/>
    <m/>
    <m/>
    <d v="1899-12-30T00:35:00"/>
    <s v="Ex 12, 13, 1+1"/>
  </r>
  <r>
    <d v="1998-11-27T00:00:00"/>
    <x v="1"/>
    <s v="S"/>
    <x v="0"/>
    <s v="PA28"/>
    <x v="10"/>
    <x v="4"/>
    <s v="P1"/>
    <s v="EGKA"/>
    <x v="0"/>
    <d v="1899-12-30T16:15:00"/>
    <d v="1899-12-30T16:25:00"/>
    <d v="1899-12-30T00:10:00"/>
    <d v="1899-12-30T00:00:00"/>
    <m/>
    <m/>
    <m/>
    <m/>
    <m/>
    <m/>
    <m/>
    <m/>
    <m/>
    <d v="1899-12-30T00:10:00"/>
    <s v="Ex 14 - First Solo!"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1999-01-21T00:00:00"/>
    <x v="1"/>
    <s v="S"/>
    <x v="0"/>
    <s v="PA28"/>
    <x v="6"/>
    <x v="0"/>
    <s v="PUT"/>
    <s v="EGKA"/>
    <x v="0"/>
    <d v="1899-12-30T15:13:00"/>
    <d v="1899-12-30T16:15:00"/>
    <d v="1899-12-30T00:00:00"/>
    <d v="1899-12-30T01:02:00"/>
    <m/>
    <m/>
    <m/>
    <m/>
    <m/>
    <m/>
    <m/>
    <m/>
    <m/>
    <d v="1899-12-30T01:02:00"/>
    <s v="Ex 15"/>
  </r>
  <r>
    <d v="1999-03-18T00:00:00"/>
    <x v="1"/>
    <s v="S"/>
    <x v="0"/>
    <s v="PA28"/>
    <x v="6"/>
    <x v="0"/>
    <s v="PUT"/>
    <s v="EGKA"/>
    <x v="0"/>
    <d v="1899-12-30T10:45:00"/>
    <d v="1899-12-30T11:40:00"/>
    <d v="1899-12-30T00:00:00"/>
    <d v="1899-12-30T00:55:00"/>
    <m/>
    <m/>
    <m/>
    <m/>
    <m/>
    <m/>
    <m/>
    <m/>
    <m/>
    <d v="1899-12-30T00:55:00"/>
    <s v="Ex 12, 13, 6+1"/>
  </r>
  <r>
    <d v="1999-03-27T00:00:00"/>
    <x v="1"/>
    <s v="S"/>
    <x v="0"/>
    <s v="PA28"/>
    <x v="10"/>
    <x v="0"/>
    <s v="PUT"/>
    <s v="EGKA"/>
    <x v="0"/>
    <d v="1899-12-30T10:30:00"/>
    <d v="1899-12-30T11:25:00"/>
    <d v="1899-12-30T00:00:00"/>
    <d v="1899-12-30T00:55:00"/>
    <m/>
    <m/>
    <m/>
    <m/>
    <m/>
    <m/>
    <m/>
    <m/>
    <m/>
    <d v="1899-12-30T00:55:00"/>
    <s v="Ex 10b (0:40), Signed"/>
  </r>
  <r>
    <d v="1999-04-08T00:00:00"/>
    <x v="1"/>
    <s v="S"/>
    <x v="0"/>
    <s v="PA28"/>
    <x v="10"/>
    <x v="0"/>
    <s v="PUT"/>
    <s v="EGKA"/>
    <x v="0"/>
    <d v="1899-12-30T17:00:00"/>
    <d v="1899-12-30T17:45:00"/>
    <d v="1899-12-30T00:00:00"/>
    <d v="1899-12-30T00:45:00"/>
    <m/>
    <m/>
    <m/>
    <m/>
    <m/>
    <m/>
    <m/>
    <m/>
    <m/>
    <d v="1899-12-30T00:45:00"/>
    <s v="Ex 12, 13, 4+1"/>
  </r>
  <r>
    <d v="1999-06-19T00:00:00"/>
    <x v="1"/>
    <s v="S"/>
    <x v="0"/>
    <s v="PA28"/>
    <x v="9"/>
    <x v="0"/>
    <s v="PUT"/>
    <s v="EGKA"/>
    <x v="0"/>
    <d v="1899-12-30T18:05:00"/>
    <d v="1899-12-30T18:50:00"/>
    <d v="1899-12-30T00:00:00"/>
    <d v="1899-12-30T00:45:00"/>
    <m/>
    <m/>
    <m/>
    <m/>
    <m/>
    <m/>
    <m/>
    <m/>
    <m/>
    <d v="1899-12-30T00:45:00"/>
    <s v="Revision"/>
  </r>
  <r>
    <d v="1999-07-13T00:00:00"/>
    <x v="1"/>
    <s v="S"/>
    <x v="0"/>
    <s v="PA28"/>
    <x v="6"/>
    <x v="5"/>
    <s v="PUT"/>
    <s v="EGKA"/>
    <x v="0"/>
    <d v="1899-12-30T14:15:00"/>
    <d v="1899-12-30T15:10:00"/>
    <d v="1899-12-30T00:00:00"/>
    <d v="1899-12-30T00:55:00"/>
    <m/>
    <m/>
    <m/>
    <m/>
    <m/>
    <m/>
    <m/>
    <m/>
    <m/>
    <d v="1899-12-30T00:55:00"/>
    <s v="Ex 12, 13, 4+1"/>
  </r>
  <r>
    <d v="1999-07-19T00:00:00"/>
    <x v="1"/>
    <s v="S"/>
    <x v="0"/>
    <s v="PA28"/>
    <x v="9"/>
    <x v="5"/>
    <s v="PUT"/>
    <s v="EGKA"/>
    <x v="0"/>
    <d v="1899-12-30T13:30:00"/>
    <d v="1899-12-30T14:25:00"/>
    <d v="1899-12-30T00:00:00"/>
    <d v="1899-12-30T00:55:00"/>
    <m/>
    <m/>
    <m/>
    <m/>
    <m/>
    <m/>
    <m/>
    <m/>
    <m/>
    <d v="1899-12-30T00:55:00"/>
    <s v="Ex 12, 13, 4+1"/>
  </r>
  <r>
    <d v="1999-07-24T00:00:00"/>
    <x v="1"/>
    <s v="S"/>
    <x v="0"/>
    <s v="PA28"/>
    <x v="9"/>
    <x v="0"/>
    <s v="PUT"/>
    <s v="EGKA"/>
    <x v="0"/>
    <d v="1899-12-30T14:10:00"/>
    <d v="1899-12-30T15:10:00"/>
    <d v="1899-12-30T00:00:00"/>
    <d v="1899-12-30T01:00:00"/>
    <m/>
    <m/>
    <m/>
    <m/>
    <m/>
    <m/>
    <m/>
    <m/>
    <m/>
    <d v="1899-12-30T01:00:00"/>
    <s v="Ex 12, 13, 5+1"/>
  </r>
  <r>
    <d v="1999-07-31T00:00:00"/>
    <x v="1"/>
    <s v="S"/>
    <x v="0"/>
    <s v="PA28"/>
    <x v="9"/>
    <x v="6"/>
    <s v="PUT"/>
    <s v="EGKA"/>
    <x v="0"/>
    <d v="1899-12-30T15:05:00"/>
    <d v="1899-12-30T16:05:00"/>
    <d v="1899-12-30T00:00:00"/>
    <d v="1899-12-30T01:00:00"/>
    <m/>
    <m/>
    <m/>
    <m/>
    <m/>
    <m/>
    <m/>
    <m/>
    <m/>
    <d v="1899-12-30T01:00:00"/>
    <s v="Ex 12, 13, 6+1"/>
  </r>
  <r>
    <d v="1999-08-07T00:00:00"/>
    <x v="1"/>
    <s v="S"/>
    <x v="0"/>
    <s v="PA28"/>
    <x v="9"/>
    <x v="6"/>
    <s v="PUT"/>
    <s v="EGKA"/>
    <x v="0"/>
    <d v="1899-12-30T17:10:00"/>
    <d v="1899-12-30T17:55:00"/>
    <d v="1899-12-30T00:00:00"/>
    <d v="1899-12-30T00:45:00"/>
    <m/>
    <m/>
    <m/>
    <m/>
    <m/>
    <m/>
    <m/>
    <m/>
    <m/>
    <d v="1899-12-30T00:45:00"/>
    <s v="Ex 12, 13, 7+1 - 2 Flapless, 2 Glide"/>
  </r>
  <r>
    <d v="1999-08-08T00:00:00"/>
    <x v="1"/>
    <s v="S"/>
    <x v="0"/>
    <s v="PA28"/>
    <x v="9"/>
    <x v="5"/>
    <s v="PUT"/>
    <s v="EGKA"/>
    <x v="2"/>
    <d v="1899-12-30T15:25:00"/>
    <d v="1899-12-30T16:28:00"/>
    <d v="1899-12-30T00:00:00"/>
    <d v="1899-12-30T01:03:00"/>
    <m/>
    <m/>
    <m/>
    <m/>
    <m/>
    <m/>
    <m/>
    <m/>
    <m/>
    <d v="1899-12-30T01:03:00"/>
    <s v="Ex 18, Ex 12, 13, 4+1"/>
  </r>
  <r>
    <d v="1999-08-08T00:00:00"/>
    <x v="1"/>
    <s v="S"/>
    <x v="0"/>
    <s v="PA28"/>
    <x v="9"/>
    <x v="5"/>
    <s v="PUT"/>
    <s v="EGMD"/>
    <x v="2"/>
    <d v="1899-12-30T17:00:00"/>
    <d v="1899-12-30T17:50:00"/>
    <d v="1899-12-30T00:00:00"/>
    <d v="1899-12-30T00:50:00"/>
    <m/>
    <m/>
    <m/>
    <m/>
    <m/>
    <m/>
    <m/>
    <m/>
    <m/>
    <d v="1899-12-30T00:50:00"/>
    <s v="Ex 12, 13, 5+1"/>
  </r>
  <r>
    <d v="1999-08-08T00:00:00"/>
    <x v="1"/>
    <s v="S"/>
    <x v="0"/>
    <s v="PA28"/>
    <x v="9"/>
    <x v="4"/>
    <s v="P1"/>
    <s v="EGMD"/>
    <x v="2"/>
    <d v="1899-12-30T17:50:00"/>
    <d v="1899-12-30T18:05:00"/>
    <d v="1899-12-30T00:15:00"/>
    <d v="1899-12-30T00:00:00"/>
    <m/>
    <m/>
    <m/>
    <m/>
    <m/>
    <m/>
    <m/>
    <m/>
    <m/>
    <d v="1899-12-30T00:15:00"/>
    <s v="Ex 14"/>
  </r>
  <r>
    <d v="1999-08-08T00:00:00"/>
    <x v="1"/>
    <s v="S"/>
    <x v="0"/>
    <s v="PA28"/>
    <x v="9"/>
    <x v="5"/>
    <s v="PUT"/>
    <s v="EGMD"/>
    <x v="0"/>
    <d v="1899-12-30T18:05:00"/>
    <d v="1899-12-30T18:48:00"/>
    <d v="1899-12-30T00:00:00"/>
    <d v="1899-12-30T00:43:00"/>
    <m/>
    <m/>
    <m/>
    <m/>
    <m/>
    <m/>
    <m/>
    <m/>
    <m/>
    <d v="1899-12-30T00:43:00"/>
    <s v="Ex 18"/>
  </r>
  <r>
    <d v="1999-08-09T00:00:00"/>
    <x v="1"/>
    <s v="S"/>
    <x v="0"/>
    <s v="PA28"/>
    <x v="9"/>
    <x v="7"/>
    <s v="PUT"/>
    <s v="EGKA"/>
    <x v="0"/>
    <d v="1899-12-30T15:55:00"/>
    <d v="1899-12-30T16:25:00"/>
    <d v="1899-12-30T00:00:00"/>
    <d v="1899-12-30T00:30:00"/>
    <m/>
    <m/>
    <m/>
    <m/>
    <m/>
    <m/>
    <m/>
    <m/>
    <m/>
    <d v="1899-12-30T00:30:00"/>
    <s v="Ex 12, 13, 1+1, Progress Check"/>
  </r>
  <r>
    <d v="1999-08-09T00:00:00"/>
    <x v="1"/>
    <s v="S"/>
    <x v="0"/>
    <s v="PA28"/>
    <x v="9"/>
    <x v="4"/>
    <s v="P1"/>
    <s v="EGKA"/>
    <x v="0"/>
    <d v="1899-12-30T16:30:00"/>
    <d v="1899-12-30T17:00:00"/>
    <d v="1899-12-30T00:30:00"/>
    <d v="1899-12-30T00:00:00"/>
    <m/>
    <m/>
    <m/>
    <m/>
    <m/>
    <m/>
    <m/>
    <m/>
    <m/>
    <d v="1899-12-30T00:30:00"/>
    <s v="Ex 12, 13, 3+1"/>
  </r>
  <r>
    <d v="1999-08-09T00:00:00"/>
    <x v="1"/>
    <s v="S"/>
    <x v="0"/>
    <s v="PA28"/>
    <x v="9"/>
    <x v="4"/>
    <s v="P1"/>
    <s v="EGKA"/>
    <x v="0"/>
    <d v="1899-12-30T17:20:00"/>
    <d v="1899-12-30T18:00:00"/>
    <d v="1899-12-30T00:40:00"/>
    <d v="1899-12-30T00:00:00"/>
    <m/>
    <m/>
    <m/>
    <m/>
    <m/>
    <m/>
    <m/>
    <m/>
    <m/>
    <d v="1899-12-30T00:40:00"/>
    <s v="Ex 12, 13, 5+1"/>
  </r>
  <r>
    <d v="1999-08-10T00:00:00"/>
    <x v="1"/>
    <s v="S"/>
    <x v="0"/>
    <s v="PA28"/>
    <x v="11"/>
    <x v="8"/>
    <s v="PUT"/>
    <s v="EGKA"/>
    <x v="0"/>
    <d v="1899-12-30T16:20:00"/>
    <d v="1899-12-30T17:10:00"/>
    <d v="1899-12-30T00:00:00"/>
    <d v="1899-12-30T00:50:00"/>
    <m/>
    <m/>
    <m/>
    <m/>
    <m/>
    <m/>
    <m/>
    <m/>
    <m/>
    <d v="1899-12-30T00:50:00"/>
    <s v="Ex 12, 13, 5+1, 3 Glide, 1 Flapless"/>
  </r>
  <r>
    <d v="1999-08-10T00:00:00"/>
    <x v="1"/>
    <s v="S"/>
    <x v="0"/>
    <s v="PA28"/>
    <x v="11"/>
    <x v="4"/>
    <s v="P1"/>
    <s v="EGKA"/>
    <x v="0"/>
    <d v="1899-12-30T17:20:00"/>
    <d v="1899-12-30T18:00:00"/>
    <d v="1899-12-30T00:40:00"/>
    <d v="1899-12-30T00:00:00"/>
    <m/>
    <m/>
    <m/>
    <m/>
    <m/>
    <m/>
    <m/>
    <m/>
    <m/>
    <d v="1899-12-30T00:40:00"/>
    <s v="Ex 12, 13, 3+1"/>
  </r>
  <r>
    <d v="1999-08-11T00:00:00"/>
    <x v="1"/>
    <s v="S"/>
    <x v="0"/>
    <s v="PA28"/>
    <x v="10"/>
    <x v="8"/>
    <s v="PUT"/>
    <s v="EGKA"/>
    <x v="0"/>
    <d v="1899-12-30T13:10:00"/>
    <d v="1899-12-30T14:20:00"/>
    <d v="1899-12-30T00:00:00"/>
    <d v="1899-12-30T01:10:00"/>
    <m/>
    <m/>
    <m/>
    <m/>
    <m/>
    <m/>
    <m/>
    <m/>
    <m/>
    <d v="1899-12-30T01:10:00"/>
    <s v="Ex 18, Shm, Petersfield, B Hill, Shm"/>
  </r>
  <r>
    <d v="1999-08-11T00:00:00"/>
    <x v="1"/>
    <s v="S"/>
    <x v="0"/>
    <s v="PA28"/>
    <x v="9"/>
    <x v="4"/>
    <s v="P1"/>
    <s v="EGKA"/>
    <x v="0"/>
    <d v="1899-12-30T17:10:00"/>
    <d v="1899-12-30T17:50:00"/>
    <d v="1899-12-30T00:40:00"/>
    <d v="1899-12-30T00:00:00"/>
    <m/>
    <m/>
    <m/>
    <m/>
    <m/>
    <m/>
    <m/>
    <m/>
    <m/>
    <d v="1899-12-30T00:40:00"/>
    <s v="Ex 12, 13, 4+1"/>
  </r>
  <r>
    <d v="1999-08-12T00:00:00"/>
    <x v="1"/>
    <s v="S"/>
    <x v="0"/>
    <s v="PA28"/>
    <x v="9"/>
    <x v="4"/>
    <s v="P1"/>
    <s v="EGKA"/>
    <x v="0"/>
    <d v="1899-12-30T12:05:00"/>
    <d v="1899-12-30T13:00:00"/>
    <d v="1899-12-30T00:55:00"/>
    <d v="1899-12-30T00:00:00"/>
    <m/>
    <m/>
    <m/>
    <m/>
    <m/>
    <m/>
    <m/>
    <m/>
    <m/>
    <d v="1899-12-30T00:55:00"/>
    <s v="Ex 12, 13, 4+1"/>
  </r>
  <r>
    <d v="1999-08-12T00:00:00"/>
    <x v="1"/>
    <s v="S"/>
    <x v="0"/>
    <s v="PA28"/>
    <x v="9"/>
    <x v="8"/>
    <s v="PUT"/>
    <s v="EGKA"/>
    <x v="0"/>
    <d v="1899-12-30T15:25:00"/>
    <d v="1899-12-30T16:25:00"/>
    <d v="1899-12-30T00:00:00"/>
    <d v="1899-12-30T01:00:00"/>
    <m/>
    <m/>
    <m/>
    <m/>
    <m/>
    <m/>
    <m/>
    <m/>
    <m/>
    <d v="1899-12-30T01:00:00"/>
    <s v="Ex 18, Shm, Battle, T.Wells, Uckfield, Shm"/>
  </r>
  <r>
    <d v="1999-08-13T00:00:00"/>
    <x v="1"/>
    <s v="S"/>
    <x v="0"/>
    <s v="PA28"/>
    <x v="9"/>
    <x v="6"/>
    <s v="PUT"/>
    <s v="EGKA"/>
    <x v="0"/>
    <d v="1899-12-30T10:40:00"/>
    <d v="1899-12-30T11:50:00"/>
    <d v="1899-12-30T00:00:00"/>
    <d v="1899-12-30T01:10:00"/>
    <m/>
    <m/>
    <m/>
    <m/>
    <m/>
    <m/>
    <m/>
    <m/>
    <m/>
    <d v="1899-12-30T01:10:00"/>
    <s v="Ex 18, Bewl, Battle, Divert Seaford"/>
  </r>
  <r>
    <d v="1999-08-13T00:00:00"/>
    <x v="1"/>
    <s v="S"/>
    <x v="0"/>
    <s v="PA28"/>
    <x v="9"/>
    <x v="8"/>
    <s v="PUT"/>
    <s v="EGKA"/>
    <x v="0"/>
    <d v="1899-12-30T10:55:00"/>
    <d v="1899-12-30T11:50:00"/>
    <d v="1899-12-30T00:00:00"/>
    <d v="1899-12-30T00:55:00"/>
    <m/>
    <m/>
    <m/>
    <m/>
    <m/>
    <m/>
    <m/>
    <m/>
    <m/>
    <d v="1899-12-30T00:55:00"/>
    <s v="Ex 18a, Diversion"/>
  </r>
  <r>
    <d v="1999-08-13T00:00:00"/>
    <x v="1"/>
    <s v="S"/>
    <x v="0"/>
    <s v="PA28"/>
    <x v="9"/>
    <x v="8"/>
    <s v="PUT"/>
    <s v="EGKA"/>
    <x v="0"/>
    <d v="1899-12-30T14:35:00"/>
    <d v="1899-12-30T15:45:00"/>
    <d v="1899-12-30T00:00:00"/>
    <d v="1899-12-30T01:10:00"/>
    <m/>
    <m/>
    <m/>
    <m/>
    <m/>
    <m/>
    <m/>
    <m/>
    <m/>
    <d v="1899-12-30T01:10:00"/>
    <s v="Ex 18a, Diversion"/>
  </r>
  <r>
    <d v="1999-08-28T00:00:00"/>
    <x v="1"/>
    <s v="S"/>
    <x v="0"/>
    <s v="PA28"/>
    <x v="8"/>
    <x v="8"/>
    <s v="PUT"/>
    <s v="EGKA"/>
    <x v="3"/>
    <d v="1899-12-30T12:30:00"/>
    <d v="1899-12-30T13:30:00"/>
    <d v="1899-12-30T00:00:00"/>
    <d v="1899-12-30T01:00:00"/>
    <m/>
    <m/>
    <m/>
    <m/>
    <m/>
    <m/>
    <m/>
    <m/>
    <m/>
    <d v="1899-12-30T01:00:00"/>
    <s v="Ex 18 - Land Away"/>
  </r>
  <r>
    <d v="1999-08-28T00:00:00"/>
    <x v="1"/>
    <s v="S"/>
    <x v="0"/>
    <s v="PA28"/>
    <x v="8"/>
    <x v="8"/>
    <s v="PUT"/>
    <s v="EGLS"/>
    <x v="0"/>
    <d v="1899-12-30T14:55:00"/>
    <d v="1899-12-30T15:55:00"/>
    <d v="1899-12-30T00:00:00"/>
    <d v="1899-12-30T01:00:00"/>
    <m/>
    <m/>
    <m/>
    <m/>
    <m/>
    <m/>
    <m/>
    <m/>
    <m/>
    <d v="1899-12-30T01:00:00"/>
    <s v="Thru Controlled Airspace"/>
  </r>
  <r>
    <d v="1999-08-29T00:00:00"/>
    <x v="1"/>
    <s v="S"/>
    <x v="0"/>
    <s v="PA28"/>
    <x v="10"/>
    <x v="6"/>
    <s v="PUT"/>
    <s v="EGKA"/>
    <x v="4"/>
    <d v="1899-12-30T12:00:00"/>
    <d v="1899-12-30T12:45:00"/>
    <d v="1899-12-30T00:00:00"/>
    <d v="1899-12-30T00:45:00"/>
    <m/>
    <m/>
    <m/>
    <m/>
    <m/>
    <m/>
    <m/>
    <m/>
    <m/>
    <d v="1899-12-30T00:45:00"/>
    <s v="Ex 18a, via Hazelmere"/>
  </r>
  <r>
    <d v="1999-08-29T00:00:00"/>
    <x v="1"/>
    <s v="S"/>
    <x v="0"/>
    <s v="PA28"/>
    <x v="10"/>
    <x v="6"/>
    <s v="PUT"/>
    <s v="EGHR"/>
    <x v="0"/>
    <d v="1899-12-30T13:40:00"/>
    <d v="1899-12-30T14:10:00"/>
    <d v="1899-12-30T00:00:00"/>
    <d v="1899-12-30T00:30:00"/>
    <m/>
    <m/>
    <m/>
    <m/>
    <m/>
    <m/>
    <m/>
    <m/>
    <m/>
    <d v="1899-12-30T00:30:00"/>
    <s v="Ex 18a"/>
  </r>
  <r>
    <d v="1999-09-21T00:00:00"/>
    <x v="1"/>
    <s v="S"/>
    <x v="0"/>
    <s v="PA28"/>
    <x v="8"/>
    <x v="8"/>
    <s v="PUT"/>
    <s v="EGKA"/>
    <x v="0"/>
    <d v="1899-12-30T10:40:00"/>
    <d v="1899-12-30T11:45:00"/>
    <d v="1899-12-30T00:00:00"/>
    <d v="1899-12-30T01:05:00"/>
    <m/>
    <m/>
    <m/>
    <m/>
    <m/>
    <m/>
    <m/>
    <m/>
    <m/>
    <d v="1899-12-30T01:05:00"/>
    <s v="Ex 18b, Radio Nav + Advanced Turns"/>
  </r>
  <r>
    <d v="1999-09-21T00:00:00"/>
    <x v="1"/>
    <s v="S"/>
    <x v="0"/>
    <s v="PA28"/>
    <x v="9"/>
    <x v="4"/>
    <s v="P1"/>
    <s v="EGKA"/>
    <x v="4"/>
    <d v="1899-12-30T12:35:00"/>
    <d v="1899-12-30T13:05:00"/>
    <d v="1899-12-30T00:30:00"/>
    <d v="1899-12-30T00:00:00"/>
    <m/>
    <m/>
    <m/>
    <m/>
    <m/>
    <m/>
    <m/>
    <m/>
    <m/>
    <d v="1899-12-30T00:30:00"/>
    <s v="Solo Away"/>
  </r>
  <r>
    <d v="1999-09-21T00:00:00"/>
    <x v="1"/>
    <s v="S"/>
    <x v="0"/>
    <s v="PA28"/>
    <x v="9"/>
    <x v="4"/>
    <s v="P1"/>
    <s v="EGHR"/>
    <x v="0"/>
    <d v="1899-12-30T14:05:00"/>
    <d v="1899-12-30T14:42:00"/>
    <d v="1899-12-30T00:37:00"/>
    <d v="1899-12-30T00:00:00"/>
    <m/>
    <m/>
    <m/>
    <m/>
    <m/>
    <m/>
    <m/>
    <m/>
    <m/>
    <d v="1899-12-30T00:37:00"/>
    <m/>
  </r>
  <r>
    <d v="1999-10-02T00:00:00"/>
    <x v="1"/>
    <s v="S"/>
    <x v="0"/>
    <s v="PA28"/>
    <x v="10"/>
    <x v="4"/>
    <s v="P1"/>
    <s v="EGKA"/>
    <x v="3"/>
    <d v="1899-12-30T14:30:00"/>
    <d v="1899-12-30T15:25:00"/>
    <d v="1899-12-30T00:55:00"/>
    <d v="1899-12-30T00:00:00"/>
    <m/>
    <m/>
    <m/>
    <m/>
    <m/>
    <m/>
    <m/>
    <m/>
    <m/>
    <d v="1899-12-30T00:55:00"/>
    <m/>
  </r>
  <r>
    <d v="1999-10-02T00:00:00"/>
    <x v="1"/>
    <s v="S"/>
    <x v="0"/>
    <s v="PA28"/>
    <x v="10"/>
    <x v="4"/>
    <s v="P1"/>
    <s v="EGLS"/>
    <x v="0"/>
    <d v="1899-12-30T15:55:00"/>
    <d v="1899-12-30T16:45:00"/>
    <d v="1899-12-30T00:50:00"/>
    <d v="1899-12-30T00:00:00"/>
    <m/>
    <m/>
    <m/>
    <m/>
    <m/>
    <m/>
    <m/>
    <m/>
    <m/>
    <d v="1899-12-30T00:50:00"/>
    <m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2000-01-08T00:00:00"/>
    <x v="1"/>
    <s v="S"/>
    <x v="0"/>
    <s v="PA28"/>
    <x v="9"/>
    <x v="8"/>
    <s v="PUT"/>
    <s v="EGKA"/>
    <x v="0"/>
    <d v="1899-12-30T15:25:00"/>
    <d v="1899-12-30T16:30:00"/>
    <d v="1899-12-30T00:00:00"/>
    <d v="1899-12-30T01:05:00"/>
    <m/>
    <m/>
    <m/>
    <m/>
    <m/>
    <m/>
    <m/>
    <m/>
    <m/>
    <d v="1899-12-30T01:05:00"/>
    <s v="Ex 15, Steep turns, Ex 10b PFL, Ex 16 1+1, Stalling - Signed"/>
  </r>
  <r>
    <d v="2000-01-23T00:00:00"/>
    <x v="1"/>
    <s v="S"/>
    <x v="0"/>
    <s v="PA28"/>
    <x v="11"/>
    <x v="9"/>
    <s v="PUT"/>
    <s v="EGKA"/>
    <x v="0"/>
    <d v="1899-12-30T13:43:00"/>
    <d v="1899-12-30T14:43:00"/>
    <d v="1899-12-30T00:00:00"/>
    <d v="1899-12-30T01:00:00"/>
    <m/>
    <m/>
    <m/>
    <m/>
    <m/>
    <m/>
    <m/>
    <m/>
    <m/>
    <d v="1899-12-30T01:00:00"/>
    <s v="Ex 15, Ex 10, Stalls - Signed"/>
  </r>
  <r>
    <d v="2000-02-02T00:00:00"/>
    <x v="1"/>
    <s v="S"/>
    <x v="0"/>
    <s v="PA28"/>
    <x v="11"/>
    <x v="8"/>
    <s v="PUT"/>
    <s v="EGKA"/>
    <x v="2"/>
    <d v="1899-12-30T10:30:00"/>
    <d v="1899-12-30T11:15:00"/>
    <d v="1899-12-30T00:00:00"/>
    <d v="1899-12-30T00:45:00"/>
    <m/>
    <m/>
    <m/>
    <m/>
    <m/>
    <m/>
    <m/>
    <m/>
    <m/>
    <d v="1899-12-30T00:45:00"/>
    <s v="Ex 18c, Pre Qual with Diversion"/>
  </r>
  <r>
    <d v="2000-02-02T00:00:00"/>
    <x v="1"/>
    <s v="S"/>
    <x v="0"/>
    <s v="PA28"/>
    <x v="11"/>
    <x v="8"/>
    <s v="PUT"/>
    <s v="EGMD"/>
    <x v="5"/>
    <d v="1899-12-30T11:25:00"/>
    <d v="1899-12-30T12:10:00"/>
    <d v="1899-12-30T00:00:00"/>
    <d v="1899-12-30T00:45:00"/>
    <m/>
    <m/>
    <m/>
    <m/>
    <m/>
    <m/>
    <m/>
    <m/>
    <m/>
    <d v="1899-12-30T00:45:00"/>
    <m/>
  </r>
  <r>
    <d v="2000-02-02T00:00:00"/>
    <x v="1"/>
    <s v="S"/>
    <x v="0"/>
    <s v="PA28"/>
    <x v="11"/>
    <x v="8"/>
    <s v="PUT"/>
    <s v="EGKB"/>
    <x v="0"/>
    <d v="1899-12-30T12:40:00"/>
    <d v="1899-12-30T13:25:00"/>
    <d v="1899-12-30T00:00:00"/>
    <d v="1899-12-30T00:45:00"/>
    <m/>
    <m/>
    <m/>
    <m/>
    <m/>
    <m/>
    <m/>
    <m/>
    <m/>
    <d v="1899-12-30T00:45:00"/>
    <m/>
  </r>
  <r>
    <d v="2000-02-03T00:00:00"/>
    <x v="1"/>
    <s v="S"/>
    <x v="0"/>
    <s v="PA28"/>
    <x v="11"/>
    <x v="4"/>
    <s v="P1"/>
    <s v="EGKA"/>
    <x v="6"/>
    <d v="1899-12-30T10:45:00"/>
    <d v="1899-12-30T11:33:00"/>
    <d v="1899-12-30T00:48:00"/>
    <d v="1899-12-30T00:00:00"/>
    <m/>
    <m/>
    <m/>
    <m/>
    <m/>
    <m/>
    <m/>
    <m/>
    <m/>
    <d v="1899-12-30T00:48:00"/>
    <s v="Cross Country Qualifier"/>
  </r>
  <r>
    <d v="2000-02-03T00:00:00"/>
    <x v="1"/>
    <s v="S"/>
    <x v="0"/>
    <s v="PA28"/>
    <x v="11"/>
    <x v="4"/>
    <s v="P1"/>
    <s v="EGMC"/>
    <x v="2"/>
    <d v="1899-12-30T11:50:00"/>
    <d v="1899-12-30T12:29:00"/>
    <d v="1899-12-30T00:39:00"/>
    <d v="1899-12-30T00:00:00"/>
    <m/>
    <m/>
    <m/>
    <m/>
    <m/>
    <m/>
    <m/>
    <m/>
    <m/>
    <d v="1899-12-30T00:39:00"/>
    <m/>
  </r>
  <r>
    <d v="2000-02-03T00:00:00"/>
    <x v="1"/>
    <s v="S"/>
    <x v="0"/>
    <s v="PA28"/>
    <x v="11"/>
    <x v="4"/>
    <s v="P1"/>
    <s v="EGMD"/>
    <x v="0"/>
    <d v="1899-12-30T12:50:00"/>
    <d v="1899-12-30T13:42:00"/>
    <d v="1899-12-30T00:52:00"/>
    <d v="1899-12-30T00:00:00"/>
    <m/>
    <m/>
    <m/>
    <m/>
    <m/>
    <m/>
    <m/>
    <m/>
    <m/>
    <d v="1899-12-30T00:52:00"/>
    <m/>
  </r>
  <r>
    <d v="2000-02-03T00:00:00"/>
    <x v="1"/>
    <s v="S"/>
    <x v="0"/>
    <s v="PA28"/>
    <x v="11"/>
    <x v="8"/>
    <s v="PUT"/>
    <s v="EGKA"/>
    <x v="0"/>
    <d v="1899-12-30T14:55:00"/>
    <d v="1899-12-30T15:30:00"/>
    <d v="1899-12-30T00:00:00"/>
    <d v="1899-12-30T00:35:00"/>
    <m/>
    <m/>
    <m/>
    <m/>
    <m/>
    <m/>
    <m/>
    <m/>
    <m/>
    <d v="1899-12-30T00:35:00"/>
    <s v="Ex17, 18c, Skills test revision"/>
  </r>
  <r>
    <d v="2000-02-05T00:00:00"/>
    <x v="1"/>
    <s v="S"/>
    <x v="0"/>
    <s v="PA28"/>
    <x v="9"/>
    <x v="4"/>
    <s v="P1"/>
    <s v="EGKA"/>
    <x v="0"/>
    <d v="1899-12-30T13:00:00"/>
    <d v="1899-12-30T14:05:00"/>
    <d v="1899-12-30T01:05:00"/>
    <d v="1899-12-30T00:00:00"/>
    <m/>
    <m/>
    <m/>
    <m/>
    <m/>
    <m/>
    <m/>
    <m/>
    <m/>
    <d v="1899-12-30T01:05:00"/>
    <s v="Ex 18, local"/>
  </r>
  <r>
    <d v="2000-02-13T00:00:00"/>
    <x v="1"/>
    <s v="S"/>
    <x v="0"/>
    <s v="PA28"/>
    <x v="6"/>
    <x v="4"/>
    <s v="P1"/>
    <s v="EGKA"/>
    <x v="0"/>
    <d v="1899-12-30T16:40:00"/>
    <d v="1899-12-30T17:25:00"/>
    <d v="1899-12-30T00:45:00"/>
    <d v="1899-12-30T00:00:00"/>
    <m/>
    <m/>
    <m/>
    <m/>
    <m/>
    <m/>
    <m/>
    <m/>
    <m/>
    <d v="1899-12-30T00:45:00"/>
    <s v="Ex 18, local"/>
  </r>
  <r>
    <d v="2000-02-19T00:00:00"/>
    <x v="1"/>
    <s v="S"/>
    <x v="0"/>
    <s v="PA28"/>
    <x v="8"/>
    <x v="4"/>
    <s v="P1"/>
    <s v="EGKA"/>
    <x v="0"/>
    <d v="1899-12-30T13:25:00"/>
    <d v="1899-12-30T16:05:00"/>
    <d v="1899-12-30T02:40:00"/>
    <d v="1899-12-30T00:00:00"/>
    <m/>
    <m/>
    <m/>
    <m/>
    <m/>
    <m/>
    <m/>
    <m/>
    <m/>
    <d v="1899-12-30T02:40:00"/>
    <s v="Skills Test!!!! - Signed McKinnon"/>
  </r>
  <r>
    <d v="2000-02-20T00:00:00"/>
    <x v="1"/>
    <s v="S"/>
    <x v="0"/>
    <s v="PA28"/>
    <x v="6"/>
    <x v="4"/>
    <s v="P1"/>
    <s v="EGKA"/>
    <x v="7"/>
    <d v="1899-12-30T13:30:00"/>
    <d v="1899-12-30T14:35:00"/>
    <d v="1899-12-30T01:05:00"/>
    <d v="1899-12-30T00:00:00"/>
    <m/>
    <m/>
    <m/>
    <m/>
    <m/>
    <m/>
    <m/>
    <m/>
    <m/>
    <d v="1899-12-30T01:05:00"/>
    <s v="Transit SAM"/>
  </r>
  <r>
    <d v="2000-02-20T00:00:00"/>
    <x v="1"/>
    <s v="S"/>
    <x v="0"/>
    <s v="PA28"/>
    <x v="6"/>
    <x v="4"/>
    <s v="P1"/>
    <s v="EGHA"/>
    <x v="0"/>
    <d v="1899-12-30T15:05:00"/>
    <d v="1899-12-30T16:05:00"/>
    <d v="1899-12-30T01:00:00"/>
    <d v="1899-12-30T00:00:00"/>
    <m/>
    <m/>
    <m/>
    <m/>
    <m/>
    <m/>
    <m/>
    <m/>
    <m/>
    <d v="1899-12-30T01:00:00"/>
    <m/>
  </r>
  <r>
    <d v="2000-02-26T00:00:00"/>
    <x v="1"/>
    <s v="S"/>
    <x v="0"/>
    <s v="PA28"/>
    <x v="8"/>
    <x v="4"/>
    <s v="P1"/>
    <s v="EGKA"/>
    <x v="8"/>
    <d v="1899-12-30T13:20:00"/>
    <d v="1899-12-30T14:40:00"/>
    <d v="1899-12-30T01:20:00"/>
    <d v="1899-12-30T00:00:00"/>
    <m/>
    <m/>
    <m/>
    <m/>
    <m/>
    <m/>
    <m/>
    <m/>
    <m/>
    <d v="1899-12-30T01:20:00"/>
    <m/>
  </r>
  <r>
    <d v="2000-02-26T00:00:00"/>
    <x v="1"/>
    <s v="S"/>
    <x v="0"/>
    <s v="PA28"/>
    <x v="8"/>
    <x v="4"/>
    <s v="P1"/>
    <s v="EGTK"/>
    <x v="0"/>
    <d v="1899-12-30T15:20:00"/>
    <d v="1899-12-30T16:30:00"/>
    <d v="1899-12-30T01:10:00"/>
    <d v="1899-12-30T00:00:00"/>
    <m/>
    <m/>
    <m/>
    <m/>
    <m/>
    <m/>
    <m/>
    <m/>
    <m/>
    <d v="1899-12-30T01:10:00"/>
    <m/>
  </r>
  <r>
    <d v="2000-03-12T00:00:00"/>
    <x v="1"/>
    <s v="S"/>
    <x v="0"/>
    <s v="PA28"/>
    <x v="9"/>
    <x v="4"/>
    <s v="P1"/>
    <s v="EGKA"/>
    <x v="0"/>
    <d v="1899-12-30T16:30:00"/>
    <d v="1899-12-30T17:40:00"/>
    <d v="1899-12-30T01:10:00"/>
    <d v="1899-12-30T00:00:00"/>
    <m/>
    <m/>
    <m/>
    <m/>
    <m/>
    <m/>
    <m/>
    <m/>
    <m/>
    <d v="1899-12-30T01:10:00"/>
    <s v="Shm, Bewl, Rye"/>
  </r>
  <r>
    <d v="2000-03-18T00:00:00"/>
    <x v="1"/>
    <s v="S"/>
    <x v="0"/>
    <s v="PA28"/>
    <x v="11"/>
    <x v="4"/>
    <s v="P1"/>
    <s v="EGKA"/>
    <x v="9"/>
    <d v="1899-12-30T12:05:00"/>
    <d v="1899-12-30T13:35:00"/>
    <d v="1899-12-30T01:30:00"/>
    <d v="1899-12-30T00:00:00"/>
    <m/>
    <m/>
    <m/>
    <m/>
    <m/>
    <m/>
    <m/>
    <m/>
    <m/>
    <d v="1899-12-30T01:30:00"/>
    <m/>
  </r>
  <r>
    <d v="2000-03-18T00:00:00"/>
    <x v="1"/>
    <s v="S"/>
    <x v="0"/>
    <s v="PA28"/>
    <x v="11"/>
    <x v="4"/>
    <s v="P1"/>
    <s v="EGBW"/>
    <x v="0"/>
    <d v="1899-12-30T14:27:00"/>
    <d v="1899-12-30T15:53:00"/>
    <d v="1899-12-30T01:26:00"/>
    <d v="1899-12-30T00:00:00"/>
    <m/>
    <m/>
    <m/>
    <m/>
    <m/>
    <m/>
    <m/>
    <m/>
    <m/>
    <d v="1899-12-30T01:26:00"/>
    <s v="Ret via Silverstone"/>
  </r>
  <r>
    <d v="2000-03-18T00:00:00"/>
    <x v="1"/>
    <s v="S"/>
    <x v="0"/>
    <s v="PA28"/>
    <x v="11"/>
    <x v="4"/>
    <s v="P1"/>
    <s v="EGKA"/>
    <x v="0"/>
    <d v="1899-12-30T16:08:00"/>
    <d v="1899-12-30T16:53:00"/>
    <d v="1899-12-30T00:45:00"/>
    <d v="1899-12-30T00:00:00"/>
    <m/>
    <m/>
    <m/>
    <m/>
    <m/>
    <m/>
    <m/>
    <m/>
    <m/>
    <d v="1899-12-30T00:45:00"/>
    <s v="4+1 with Mitchell"/>
  </r>
  <r>
    <d v="2000-03-26T00:00:00"/>
    <x v="1"/>
    <s v="S"/>
    <x v="0"/>
    <s v="PA28"/>
    <x v="8"/>
    <x v="4"/>
    <s v="P1"/>
    <s v="EGKA"/>
    <x v="4"/>
    <d v="1899-12-30T11:05:00"/>
    <d v="1899-12-30T11:32:00"/>
    <d v="1899-12-30T00:27:00"/>
    <d v="1899-12-30T00:00:00"/>
    <m/>
    <m/>
    <m/>
    <m/>
    <m/>
    <m/>
    <m/>
    <m/>
    <m/>
    <d v="1899-12-30T00:27:00"/>
    <m/>
  </r>
  <r>
    <d v="2000-03-26T00:00:00"/>
    <x v="1"/>
    <s v="S"/>
    <x v="0"/>
    <s v="PA28"/>
    <x v="8"/>
    <x v="4"/>
    <s v="P1"/>
    <s v="EGHR"/>
    <x v="4"/>
    <d v="1899-12-30T11:50:00"/>
    <d v="1899-12-30T12:20:00"/>
    <d v="1899-12-30T00:30:00"/>
    <d v="1899-12-30T00:00:00"/>
    <m/>
    <m/>
    <m/>
    <m/>
    <m/>
    <m/>
    <m/>
    <m/>
    <m/>
    <d v="1899-12-30T00:30:00"/>
    <s v="2+1 Rough Engine"/>
  </r>
  <r>
    <d v="2000-03-26T00:00:00"/>
    <x v="1"/>
    <s v="S"/>
    <x v="0"/>
    <s v="PA28"/>
    <x v="8"/>
    <x v="4"/>
    <s v="P1"/>
    <s v="EGHR"/>
    <x v="0"/>
    <d v="1899-12-30T13:25:00"/>
    <d v="1899-12-30T13:50:00"/>
    <d v="1899-12-30T00:25:00"/>
    <d v="1899-12-30T00:00:00"/>
    <m/>
    <m/>
    <m/>
    <m/>
    <m/>
    <m/>
    <m/>
    <m/>
    <m/>
    <d v="1899-12-30T00:25:00"/>
    <m/>
  </r>
  <r>
    <d v="2000-03-31T00:00:00"/>
    <x v="1"/>
    <s v="S"/>
    <x v="0"/>
    <s v="PA28"/>
    <x v="9"/>
    <x v="4"/>
    <s v="P1"/>
    <s v="EGKA"/>
    <x v="0"/>
    <d v="1899-12-30T15:50:00"/>
    <d v="1899-12-30T17:05:00"/>
    <d v="1899-12-30T01:15:00"/>
    <d v="1899-12-30T00:00:00"/>
    <m/>
    <m/>
    <m/>
    <m/>
    <m/>
    <m/>
    <m/>
    <m/>
    <m/>
    <d v="1899-12-30T01:15:00"/>
    <s v="4+1"/>
  </r>
  <r>
    <d v="2000-04-01T00:00:00"/>
    <x v="1"/>
    <s v="S"/>
    <x v="0"/>
    <s v="PA28"/>
    <x v="11"/>
    <x v="4"/>
    <s v="P1"/>
    <s v="EGKA"/>
    <x v="0"/>
    <d v="1899-12-30T10:45:00"/>
    <d v="1899-12-30T11:40:00"/>
    <d v="1899-12-30T00:55:00"/>
    <d v="1899-12-30T00:00:00"/>
    <m/>
    <m/>
    <m/>
    <m/>
    <m/>
    <m/>
    <m/>
    <m/>
    <m/>
    <d v="1899-12-30T00:55:00"/>
    <s v="To Lydd but turned back"/>
  </r>
  <r>
    <d v="2000-04-02T00:00:00"/>
    <x v="1"/>
    <s v="S"/>
    <x v="0"/>
    <s v="PA28"/>
    <x v="11"/>
    <x v="4"/>
    <s v="P1"/>
    <s v="EGKA"/>
    <x v="0"/>
    <d v="1899-12-30T12:15:00"/>
    <d v="1899-12-30T13:05:00"/>
    <d v="1899-12-30T00:50:00"/>
    <d v="1899-12-30T00:00:00"/>
    <m/>
    <m/>
    <m/>
    <m/>
    <m/>
    <m/>
    <m/>
    <m/>
    <m/>
    <d v="1899-12-30T00:50:00"/>
    <s v="Local with H &amp; Warren"/>
  </r>
  <r>
    <d v="2000-04-08T00:00:00"/>
    <x v="1"/>
    <s v="S"/>
    <x v="0"/>
    <s v="PA28"/>
    <x v="10"/>
    <x v="4"/>
    <s v="P1"/>
    <s v="EGKA"/>
    <x v="9"/>
    <d v="1899-12-30T10:35:00"/>
    <d v="1899-12-30T12:00:00"/>
    <d v="1899-12-30T01:25:00"/>
    <d v="1899-12-30T00:00:00"/>
    <m/>
    <m/>
    <m/>
    <m/>
    <m/>
    <m/>
    <m/>
    <m/>
    <m/>
    <d v="1899-12-30T01:25:00"/>
    <m/>
  </r>
  <r>
    <d v="2000-04-08T00:00:00"/>
    <x v="1"/>
    <s v="S"/>
    <x v="0"/>
    <s v="PA28"/>
    <x v="10"/>
    <x v="4"/>
    <s v="P1"/>
    <s v="EGBW"/>
    <x v="0"/>
    <d v="1899-12-30T12:20:00"/>
    <d v="1899-12-30T13:35:00"/>
    <d v="1899-12-30T01:15:00"/>
    <d v="1899-12-30T00:00:00"/>
    <m/>
    <m/>
    <m/>
    <m/>
    <m/>
    <m/>
    <m/>
    <m/>
    <m/>
    <d v="1899-12-30T01:15:00"/>
    <m/>
  </r>
  <r>
    <d v="2000-04-09T00:00:00"/>
    <x v="1"/>
    <s v="S"/>
    <x v="0"/>
    <s v="PA28"/>
    <x v="8"/>
    <x v="4"/>
    <s v="P1"/>
    <s v="EGKA"/>
    <x v="0"/>
    <d v="1899-12-30T13:25:00"/>
    <d v="1899-12-30T14:40:00"/>
    <d v="1899-12-30T01:15:00"/>
    <d v="1899-12-30T00:00:00"/>
    <m/>
    <m/>
    <m/>
    <m/>
    <m/>
    <m/>
    <m/>
    <m/>
    <m/>
    <d v="1899-12-30T01:15:00"/>
    <s v="Local with Karen &amp; Paul"/>
  </r>
  <r>
    <d v="2000-04-09T00:00:00"/>
    <x v="1"/>
    <s v="S"/>
    <x v="0"/>
    <s v="PA28"/>
    <x v="8"/>
    <x v="4"/>
    <s v="P1"/>
    <s v="EGKA"/>
    <x v="2"/>
    <d v="1899-12-30T16:00:00"/>
    <d v="1899-12-30T16:55:00"/>
    <d v="1899-12-30T00:55:00"/>
    <d v="1899-12-30T00:00:00"/>
    <m/>
    <m/>
    <m/>
    <m/>
    <m/>
    <m/>
    <m/>
    <m/>
    <m/>
    <d v="1899-12-30T00:55:00"/>
    <m/>
  </r>
  <r>
    <d v="2000-04-09T00:00:00"/>
    <x v="1"/>
    <s v="S"/>
    <x v="0"/>
    <s v="PA28"/>
    <x v="8"/>
    <x v="4"/>
    <s v="P1"/>
    <s v="EGMD"/>
    <x v="0"/>
    <d v="1899-12-30T17:18:00"/>
    <d v="1899-12-30T17:58:00"/>
    <d v="1899-12-30T00:40:00"/>
    <d v="1899-12-30T00:00:00"/>
    <m/>
    <m/>
    <m/>
    <m/>
    <m/>
    <m/>
    <m/>
    <m/>
    <m/>
    <d v="1899-12-30T00:40:00"/>
    <m/>
  </r>
  <r>
    <d v="2000-04-10T00:00:00"/>
    <x v="1"/>
    <s v="S"/>
    <x v="0"/>
    <s v="PA28"/>
    <x v="8"/>
    <x v="4"/>
    <s v="P1"/>
    <s v="EGKA"/>
    <x v="9"/>
    <d v="1899-12-30T12:40:00"/>
    <d v="1899-12-30T13:55:00"/>
    <d v="1899-12-30T01:15:00"/>
    <d v="1899-12-30T00:00:00"/>
    <m/>
    <m/>
    <m/>
    <m/>
    <m/>
    <m/>
    <m/>
    <m/>
    <m/>
    <d v="1899-12-30T01:15:00"/>
    <m/>
  </r>
  <r>
    <d v="2000-04-10T00:00:00"/>
    <x v="1"/>
    <s v="S"/>
    <x v="0"/>
    <s v="PA28"/>
    <x v="8"/>
    <x v="4"/>
    <s v="P1"/>
    <s v="EGBW"/>
    <x v="10"/>
    <d v="1899-12-30T15:23:00"/>
    <d v="1899-12-30T16:05:00"/>
    <d v="1899-12-30T00:42:00"/>
    <d v="1899-12-30T00:00:00"/>
    <m/>
    <m/>
    <m/>
    <m/>
    <m/>
    <m/>
    <m/>
    <m/>
    <m/>
    <d v="1899-12-30T00:42:00"/>
    <m/>
  </r>
  <r>
    <d v="2000-04-10T00:00:00"/>
    <x v="1"/>
    <s v="S"/>
    <x v="0"/>
    <s v="PA28"/>
    <x v="8"/>
    <x v="4"/>
    <s v="P1"/>
    <s v="EGBS"/>
    <x v="0"/>
    <d v="1899-12-30T16:35:00"/>
    <d v="1899-12-30T17:58:00"/>
    <d v="1899-12-30T01:23:00"/>
    <d v="1899-12-30T00:00:00"/>
    <m/>
    <m/>
    <m/>
    <m/>
    <m/>
    <m/>
    <m/>
    <m/>
    <m/>
    <d v="1899-12-30T01:23:00"/>
    <m/>
  </r>
  <r>
    <d v="2000-04-16T00:00:00"/>
    <x v="1"/>
    <s v="S"/>
    <x v="0"/>
    <s v="PA28"/>
    <x v="10"/>
    <x v="4"/>
    <s v="P1"/>
    <s v="EGKA"/>
    <x v="0"/>
    <d v="1899-12-30T16:25:00"/>
    <d v="1899-12-30T16:47:00"/>
    <d v="1899-12-30T00:22:00"/>
    <d v="1899-12-30T00:00:00"/>
    <m/>
    <m/>
    <m/>
    <m/>
    <m/>
    <m/>
    <m/>
    <m/>
    <m/>
    <d v="1899-12-30T00:22:00"/>
    <s v="With Russ - Abandoned"/>
  </r>
  <r>
    <d v="2000-04-17T00:00:00"/>
    <x v="1"/>
    <s v="S"/>
    <x v="0"/>
    <s v="PA28"/>
    <x v="10"/>
    <x v="7"/>
    <s v="PUT"/>
    <s v="EGKA"/>
    <x v="0"/>
    <d v="1899-12-30T14:55:00"/>
    <d v="1899-12-30T16:00:00"/>
    <d v="1899-12-30T00:00:00"/>
    <d v="1899-12-30T01:05:00"/>
    <m/>
    <m/>
    <m/>
    <m/>
    <m/>
    <m/>
    <n v="0.9"/>
    <m/>
    <m/>
    <d v="1899-12-30T01:05:00"/>
    <s v="Ex 19a"/>
  </r>
  <r>
    <d v="2000-04-17T00:00:00"/>
    <x v="1"/>
    <s v="S"/>
    <x v="0"/>
    <s v="PA28"/>
    <x v="10"/>
    <x v="7"/>
    <s v="PUT"/>
    <s v="EGKA"/>
    <x v="0"/>
    <d v="1899-12-30T16:05:00"/>
    <d v="1899-12-30T17:10:00"/>
    <d v="1899-12-30T00:00:00"/>
    <d v="1899-12-30T01:05:00"/>
    <m/>
    <m/>
    <m/>
    <m/>
    <m/>
    <m/>
    <n v="0.9"/>
    <m/>
    <m/>
    <d v="1899-12-30T01:05:00"/>
    <s v="Ex 19a, b"/>
  </r>
  <r>
    <d v="2000-04-17T00:00:00"/>
    <x v="1"/>
    <s v="S"/>
    <x v="0"/>
    <s v="PA28"/>
    <x v="10"/>
    <x v="7"/>
    <s v="PUT"/>
    <s v="EGKA"/>
    <x v="0"/>
    <d v="1899-12-30T18:00:00"/>
    <d v="1899-12-30T18:55:00"/>
    <d v="1899-12-30T00:00:00"/>
    <d v="1899-12-30T00:55:00"/>
    <m/>
    <m/>
    <m/>
    <m/>
    <m/>
    <m/>
    <n v="0.7"/>
    <m/>
    <m/>
    <d v="1899-12-30T00:55:00"/>
    <s v="Compass &amp; Timed Turns"/>
  </r>
  <r>
    <d v="2000-04-18T00:00:00"/>
    <x v="1"/>
    <s v="S"/>
    <x v="0"/>
    <s v="PA28"/>
    <x v="8"/>
    <x v="7"/>
    <s v="PUT"/>
    <s v="EGKA"/>
    <x v="0"/>
    <d v="1899-12-30T11:25:00"/>
    <d v="1899-12-30T12:35:00"/>
    <d v="1899-12-30T00:00:00"/>
    <d v="1899-12-30T01:10:00"/>
    <m/>
    <m/>
    <m/>
    <m/>
    <m/>
    <m/>
    <n v="1.1000000000000001"/>
    <m/>
    <m/>
    <d v="1899-12-30T01:10:00"/>
    <s v="VOR Tracking and Intro to SRA"/>
  </r>
  <r>
    <d v="2000-04-18T00:00:00"/>
    <x v="1"/>
    <s v="S"/>
    <x v="0"/>
    <s v="PA28"/>
    <x v="8"/>
    <x v="7"/>
    <s v="PUT"/>
    <s v="EGKA"/>
    <x v="0"/>
    <d v="1899-12-30T13:10:00"/>
    <d v="1899-12-30T14:30:00"/>
    <d v="1899-12-30T00:00:00"/>
    <d v="1899-12-30T01:20:00"/>
    <m/>
    <m/>
    <m/>
    <m/>
    <m/>
    <m/>
    <n v="1.1000000000000001"/>
    <m/>
    <m/>
    <d v="1899-12-30T01:20:00"/>
    <s v="NDB Tracking"/>
  </r>
  <r>
    <d v="2000-04-18T00:00:00"/>
    <x v="1"/>
    <s v="S"/>
    <x v="0"/>
    <s v="PA28"/>
    <x v="8"/>
    <x v="7"/>
    <s v="PUT"/>
    <s v="EGKA"/>
    <x v="0"/>
    <d v="1899-12-30T16:00:00"/>
    <d v="1899-12-30T17:10:00"/>
    <d v="1899-12-30T00:00:00"/>
    <d v="1899-12-30T01:10:00"/>
    <m/>
    <m/>
    <m/>
    <m/>
    <m/>
    <m/>
    <n v="0.9"/>
    <m/>
    <m/>
    <d v="1899-12-30T01:10:00"/>
    <s v="VOR Holds"/>
  </r>
  <r>
    <d v="2000-04-19T00:00:00"/>
    <x v="1"/>
    <s v="S"/>
    <x v="0"/>
    <s v="PA28"/>
    <x v="8"/>
    <x v="8"/>
    <s v="PUT"/>
    <s v="EGKA"/>
    <x v="2"/>
    <d v="1899-12-30T10:20:00"/>
    <d v="1899-12-30T11:00:00"/>
    <d v="1899-12-30T00:00:00"/>
    <d v="1899-12-30T00:40:00"/>
    <m/>
    <m/>
    <m/>
    <m/>
    <m/>
    <m/>
    <n v="0.4"/>
    <m/>
    <m/>
    <d v="1899-12-30T00:40:00"/>
    <s v="VOR Tracking and Intro to SRA"/>
  </r>
  <r>
    <d v="2000-04-19T00:00:00"/>
    <x v="1"/>
    <s v="S"/>
    <x v="0"/>
    <s v="PA28"/>
    <x v="8"/>
    <x v="8"/>
    <s v="PUT"/>
    <s v="EGMD"/>
    <x v="0"/>
    <d v="1899-12-30T12:05:00"/>
    <d v="1899-12-30T13:35:00"/>
    <d v="1899-12-30T00:00:00"/>
    <d v="1899-12-30T01:30:00"/>
    <m/>
    <m/>
    <m/>
    <m/>
    <m/>
    <m/>
    <n v="1.3"/>
    <m/>
    <m/>
    <d v="1899-12-30T01:30:00"/>
    <s v="VOR Holds + MAP"/>
  </r>
  <r>
    <d v="2000-04-19T00:00:00"/>
    <x v="1"/>
    <s v="S"/>
    <x v="0"/>
    <s v="PA28"/>
    <x v="8"/>
    <x v="4"/>
    <s v="P1"/>
    <s v="EGKA"/>
    <x v="11"/>
    <d v="1899-12-30T14:10:00"/>
    <d v="1899-12-30T14:50:00"/>
    <d v="1899-12-30T00:40:00"/>
    <d v="1899-12-30T00:00:00"/>
    <m/>
    <m/>
    <m/>
    <m/>
    <m/>
    <m/>
    <m/>
    <m/>
    <m/>
    <d v="1899-12-30T00:40:00"/>
    <m/>
  </r>
  <r>
    <d v="2000-04-19T00:00:00"/>
    <x v="1"/>
    <s v="S"/>
    <x v="0"/>
    <s v="PA28"/>
    <x v="8"/>
    <x v="4"/>
    <s v="P1"/>
    <s v="EGHJ"/>
    <x v="0"/>
    <d v="1899-12-30T15:05:00"/>
    <d v="1899-12-30T15:40:00"/>
    <d v="1899-12-30T00:35:00"/>
    <d v="1899-12-30T00:00:00"/>
    <m/>
    <m/>
    <m/>
    <m/>
    <m/>
    <m/>
    <m/>
    <m/>
    <m/>
    <d v="1899-12-30T00:35:00"/>
    <m/>
  </r>
  <r>
    <d v="2000-04-19T00:00:00"/>
    <x v="1"/>
    <s v="S"/>
    <x v="0"/>
    <s v="PA28"/>
    <x v="8"/>
    <x v="8"/>
    <s v="PUT"/>
    <s v="EGKA"/>
    <x v="0"/>
    <d v="1899-12-30T17:25:00"/>
    <d v="1899-12-30T18:40:00"/>
    <d v="1899-12-30T00:00:00"/>
    <d v="1899-12-30T01:15:00"/>
    <m/>
    <m/>
    <m/>
    <m/>
    <m/>
    <m/>
    <n v="1"/>
    <m/>
    <m/>
    <d v="1899-12-30T01:15:00"/>
    <s v="NDB Holds + Approach"/>
  </r>
  <r>
    <d v="2000-04-29T00:00:00"/>
    <x v="1"/>
    <s v="S"/>
    <x v="0"/>
    <s v="PA28"/>
    <x v="9"/>
    <x v="4"/>
    <s v="P1"/>
    <s v="EGKA"/>
    <x v="7"/>
    <d v="1899-12-30T13:50:00"/>
    <d v="1899-12-30T15:00:00"/>
    <d v="1899-12-30T01:10:00"/>
    <d v="1899-12-30T00:00:00"/>
    <m/>
    <m/>
    <m/>
    <m/>
    <m/>
    <m/>
    <m/>
    <m/>
    <m/>
    <d v="1899-12-30T01:10:00"/>
    <s v="With H"/>
  </r>
  <r>
    <d v="2000-04-29T00:00:00"/>
    <x v="1"/>
    <s v="S"/>
    <x v="0"/>
    <s v="PA28"/>
    <x v="9"/>
    <x v="4"/>
    <s v="P1"/>
    <s v="EGHA"/>
    <x v="0"/>
    <d v="1899-12-30T15:50:00"/>
    <d v="1899-12-30T16:45:00"/>
    <d v="1899-12-30T00:55:00"/>
    <d v="1899-12-30T00:00:00"/>
    <m/>
    <m/>
    <m/>
    <m/>
    <m/>
    <m/>
    <m/>
    <m/>
    <m/>
    <d v="1899-12-30T00:55:00"/>
    <m/>
  </r>
  <r>
    <d v="2000-04-30T00:00:00"/>
    <x v="1"/>
    <s v="S"/>
    <x v="0"/>
    <s v="PA28"/>
    <x v="9"/>
    <x v="4"/>
    <s v="P1"/>
    <s v="EGKA"/>
    <x v="12"/>
    <d v="1899-12-30T10:55:00"/>
    <d v="1899-12-30T11:55:00"/>
    <d v="1899-12-30T01:00:00"/>
    <d v="1899-12-30T00:00:00"/>
    <m/>
    <m/>
    <m/>
    <m/>
    <m/>
    <m/>
    <m/>
    <m/>
    <m/>
    <d v="1899-12-30T01:00:00"/>
    <m/>
  </r>
  <r>
    <d v="2000-04-30T00:00:00"/>
    <x v="1"/>
    <s v="S"/>
    <x v="0"/>
    <s v="PA28"/>
    <x v="9"/>
    <x v="4"/>
    <s v="P1"/>
    <s v="EGLM"/>
    <x v="0"/>
    <d v="1899-12-30T12:25:00"/>
    <d v="1899-12-30T13:15:00"/>
    <d v="1899-12-30T00:50:00"/>
    <d v="1899-12-30T00:00:00"/>
    <m/>
    <m/>
    <m/>
    <m/>
    <m/>
    <m/>
    <m/>
    <m/>
    <m/>
    <d v="1899-12-30T00:50:00"/>
    <m/>
  </r>
  <r>
    <d v="2000-05-01T00:00:00"/>
    <x v="1"/>
    <s v="S"/>
    <x v="0"/>
    <s v="PA28"/>
    <x v="8"/>
    <x v="7"/>
    <s v="PUT"/>
    <s v="EGKA"/>
    <x v="0"/>
    <d v="1899-12-30T09:45:00"/>
    <d v="1899-12-30T10:40:00"/>
    <d v="1899-12-30T00:00:00"/>
    <d v="1899-12-30T00:55:00"/>
    <m/>
    <m/>
    <m/>
    <m/>
    <m/>
    <m/>
    <n v="0.7"/>
    <m/>
    <m/>
    <d v="1899-12-30T00:55:00"/>
    <s v="NDB Holds + App to 03"/>
  </r>
  <r>
    <d v="2000-05-01T00:00:00"/>
    <x v="1"/>
    <s v="S"/>
    <x v="0"/>
    <s v="PA28"/>
    <x v="11"/>
    <x v="7"/>
    <s v="PUT"/>
    <s v="EGKA"/>
    <x v="13"/>
    <d v="1899-12-30T12:15:00"/>
    <d v="1899-12-30T14:15:00"/>
    <d v="1899-12-30T00:00:00"/>
    <d v="1899-12-30T02:00:00"/>
    <m/>
    <m/>
    <m/>
    <m/>
    <m/>
    <m/>
    <n v="1.8"/>
    <m/>
    <m/>
    <d v="1899-12-30T02:00:00"/>
    <s v="Holds at BIA, Proc ILS to 08, R Vec ILS to 08, Signed"/>
  </r>
  <r>
    <d v="2000-05-01T00:00:00"/>
    <x v="1"/>
    <s v="S"/>
    <x v="0"/>
    <s v="PA28"/>
    <x v="11"/>
    <x v="7"/>
    <s v="PUT"/>
    <s v="EGHH"/>
    <x v="0"/>
    <d v="1899-12-30T16:05:00"/>
    <d v="1899-12-30T17:05:00"/>
    <d v="1899-12-30T00:00:00"/>
    <d v="1899-12-30T01:00:00"/>
    <m/>
    <m/>
    <m/>
    <m/>
    <m/>
    <m/>
    <m/>
    <m/>
    <m/>
    <d v="1899-12-30T01:00:00"/>
    <s v="Advanced Effects of Controls!!! - Low Level "/>
  </r>
  <r>
    <d v="2000-05-02T00:00:00"/>
    <x v="1"/>
    <s v="S"/>
    <x v="0"/>
    <s v="PA28"/>
    <x v="11"/>
    <x v="4"/>
    <s v="P1"/>
    <s v="EGKA"/>
    <x v="0"/>
    <d v="1899-12-30T09:27:00"/>
    <d v="1899-12-30T10:15:00"/>
    <d v="1899-12-30T00:48:00"/>
    <d v="1899-12-30T00:00:00"/>
    <m/>
    <m/>
    <m/>
    <m/>
    <m/>
    <m/>
    <m/>
    <m/>
    <m/>
    <d v="1899-12-30T00:48:00"/>
    <s v="Abandoned flight to Gloucester, Plymouth"/>
  </r>
  <r>
    <d v="2000-05-02T00:00:00"/>
    <x v="1"/>
    <s v="S"/>
    <x v="0"/>
    <s v="PA28"/>
    <x v="11"/>
    <x v="7"/>
    <s v="PUT"/>
    <s v="EGKA"/>
    <x v="0"/>
    <d v="1899-12-30T11:30:00"/>
    <d v="1899-12-30T12:40:00"/>
    <d v="1899-12-30T00:00:00"/>
    <d v="1899-12-30T01:10:00"/>
    <m/>
    <m/>
    <m/>
    <m/>
    <m/>
    <m/>
    <n v="1"/>
    <m/>
    <m/>
    <d v="1899-12-30T01:10:00"/>
    <s v="SRA + Rad Vec ILS @ Dunsfolds, Signed"/>
  </r>
  <r>
    <d v="2000-06-17T00:00:00"/>
    <x v="1"/>
    <s v="S"/>
    <x v="0"/>
    <s v="PA28"/>
    <x v="12"/>
    <x v="4"/>
    <s v="P1"/>
    <s v="EGKA"/>
    <x v="0"/>
    <d v="1899-12-30T09:27:00"/>
    <d v="1899-12-30T10:52:00"/>
    <d v="1899-12-30T01:25:00"/>
    <d v="1899-12-30T00:00:00"/>
    <m/>
    <m/>
    <m/>
    <m/>
    <m/>
    <m/>
    <m/>
    <m/>
    <m/>
    <d v="1899-12-30T01:25:00"/>
    <s v="Abandoned Landing @ Lydd"/>
  </r>
  <r>
    <d v="2000-06-17T00:00:00"/>
    <x v="3"/>
    <s v="S"/>
    <x v="0"/>
    <s v="PA28-235"/>
    <x v="13"/>
    <x v="7"/>
    <s v="PUT"/>
    <s v="EGKA"/>
    <x v="0"/>
    <d v="1899-12-30T13:20:00"/>
    <d v="1899-12-30T14:45:00"/>
    <d v="1899-12-30T00:00:00"/>
    <d v="1899-12-30T01:25:00"/>
    <m/>
    <m/>
    <m/>
    <m/>
    <m/>
    <m/>
    <n v="0.7"/>
    <m/>
    <m/>
    <d v="1899-12-30T01:25:00"/>
    <s v="IMC Proc turns, Revision 19a, b + VP Differences training, Signed"/>
  </r>
  <r>
    <d v="2000-07-01T00:00:00"/>
    <x v="3"/>
    <s v="S"/>
    <x v="0"/>
    <s v="PA28-235"/>
    <x v="13"/>
    <x v="7"/>
    <s v="PUT"/>
    <s v="EGKA"/>
    <x v="0"/>
    <d v="1899-12-30T15:10:00"/>
    <d v="1899-12-30T16:20:00"/>
    <d v="1899-12-30T00:00:00"/>
    <d v="1899-12-30T01:10:00"/>
    <m/>
    <m/>
    <m/>
    <m/>
    <m/>
    <m/>
    <n v="0.9"/>
    <m/>
    <m/>
    <d v="1899-12-30T01:10:00"/>
    <s v="VOR Tracking, 4 Holds, NDB App 21"/>
  </r>
  <r>
    <d v="2000-07-02T00:00:00"/>
    <x v="3"/>
    <s v="S"/>
    <x v="0"/>
    <s v="PA28-235"/>
    <x v="13"/>
    <x v="4"/>
    <s v="P1"/>
    <s v="EGKA"/>
    <x v="0"/>
    <d v="1899-12-30T12:20:00"/>
    <d v="1899-12-30T12:50:00"/>
    <d v="1899-12-30T00:30:00"/>
    <d v="1899-12-30T00:00:00"/>
    <m/>
    <m/>
    <m/>
    <m/>
    <m/>
    <m/>
    <m/>
    <m/>
    <m/>
    <d v="1899-12-30T00:30:00"/>
    <s v="Local, Abandoned tough running"/>
  </r>
  <r>
    <d v="2000-07-09T00:00:00"/>
    <x v="4"/>
    <s v="S"/>
    <x v="0"/>
    <s v="AA-5"/>
    <x v="14"/>
    <x v="7"/>
    <s v="PUT"/>
    <s v="EGKA"/>
    <x v="0"/>
    <d v="1899-12-30T11:10:00"/>
    <d v="1899-12-30T12:15:00"/>
    <d v="1899-12-30T00:00:00"/>
    <d v="1899-12-30T01:05:00"/>
    <m/>
    <m/>
    <m/>
    <m/>
    <m/>
    <m/>
    <n v="0.9"/>
    <m/>
    <m/>
    <d v="1899-12-30T01:05:00"/>
    <s v="VOR tracking, NDB SHM + VDF Letdown, Signed"/>
  </r>
  <r>
    <d v="2000-07-15T00:00:00"/>
    <x v="3"/>
    <s v="S"/>
    <x v="0"/>
    <s v="PA28-235"/>
    <x v="13"/>
    <x v="7"/>
    <s v="PUT"/>
    <s v="EGKA"/>
    <x v="0"/>
    <d v="1899-12-30T10:10:00"/>
    <d v="1899-12-30T11:05:00"/>
    <d v="1899-12-30T00:00:00"/>
    <d v="1899-12-30T00:55:00"/>
    <m/>
    <m/>
    <m/>
    <m/>
    <m/>
    <m/>
    <n v="0.8"/>
    <m/>
    <m/>
    <d v="1899-12-30T00:55:00"/>
    <s v="IMC Revision"/>
  </r>
  <r>
    <d v="2000-07-15T00:00:00"/>
    <x v="5"/>
    <s v="S"/>
    <x v="0"/>
    <s v="Archer-III"/>
    <x v="15"/>
    <x v="7"/>
    <s v="PUT"/>
    <s v="EGKA"/>
    <x v="0"/>
    <d v="1899-12-30T12:20:00"/>
    <d v="1899-12-30T13:15:00"/>
    <d v="1899-12-30T00:00:00"/>
    <d v="1899-12-30T00:55:00"/>
    <m/>
    <m/>
    <m/>
    <m/>
    <m/>
    <m/>
    <n v="0.7"/>
    <m/>
    <m/>
    <d v="1899-12-30T00:55:00"/>
    <s v="VDF Proc 03, Compas Turns"/>
  </r>
  <r>
    <d v="2000-07-15T00:00:00"/>
    <x v="5"/>
    <s v="S"/>
    <x v="0"/>
    <s v="Archer-III"/>
    <x v="15"/>
    <x v="4"/>
    <s v="P1"/>
    <s v="EGKA"/>
    <x v="0"/>
    <d v="1899-12-30T15:30:00"/>
    <d v="1899-12-30T16:55:00"/>
    <d v="1899-12-30T01:25:00"/>
    <d v="1899-12-30T00:00:00"/>
    <m/>
    <m/>
    <m/>
    <m/>
    <m/>
    <m/>
    <m/>
    <m/>
    <m/>
    <d v="1899-12-30T01:25:00"/>
    <s v="Local with H around Isle of Wight"/>
  </r>
  <r>
    <d v="2000-07-16T00:00:00"/>
    <x v="5"/>
    <s v="S"/>
    <x v="0"/>
    <s v="Archer-III"/>
    <x v="15"/>
    <x v="4"/>
    <s v="P1"/>
    <s v="EGKA"/>
    <x v="0"/>
    <d v="1899-12-30T09:34:00"/>
    <d v="1899-12-30T11:03:00"/>
    <d v="1899-12-30T01:29:00"/>
    <d v="1899-12-30T00:00:00"/>
    <m/>
    <m/>
    <m/>
    <m/>
    <m/>
    <m/>
    <m/>
    <m/>
    <m/>
    <d v="1899-12-30T01:29:00"/>
    <s v="IMC Test Part 1, Gary Leicester"/>
  </r>
  <r>
    <d v="2000-07-16T00:00:00"/>
    <x v="5"/>
    <s v="S"/>
    <x v="0"/>
    <s v="Archer-III"/>
    <x v="15"/>
    <x v="4"/>
    <s v="P1"/>
    <s v="EGKA"/>
    <x v="0"/>
    <d v="1899-12-30T16:50:00"/>
    <d v="1899-12-30T17:26:00"/>
    <d v="1899-12-30T00:36:00"/>
    <d v="1899-12-30T00:00:00"/>
    <m/>
    <m/>
    <m/>
    <m/>
    <m/>
    <m/>
    <m/>
    <m/>
    <m/>
    <d v="1899-12-30T00:36:00"/>
    <s v="IMC Test Part 2 - VDF Let Down 02"/>
  </r>
  <r>
    <d v="2000-07-20T00:00:00"/>
    <x v="3"/>
    <s v="S"/>
    <x v="0"/>
    <s v="PA28-235"/>
    <x v="13"/>
    <x v="4"/>
    <s v="P1"/>
    <s v="EGKA"/>
    <x v="14"/>
    <d v="1899-12-30T15:15:00"/>
    <d v="1899-12-30T16:15:00"/>
    <d v="1899-12-30T01:00:00"/>
    <d v="1899-12-30T00:00:00"/>
    <m/>
    <m/>
    <m/>
    <m/>
    <m/>
    <m/>
    <m/>
    <m/>
    <m/>
    <d v="1899-12-30T01:00:00"/>
    <s v="Cross Channel Checkout with McKinnon, Signed"/>
  </r>
  <r>
    <d v="2000-07-21T00:00:00"/>
    <x v="3"/>
    <s v="S"/>
    <x v="0"/>
    <s v="PA28-235"/>
    <x v="13"/>
    <x v="4"/>
    <s v="P1"/>
    <s v="LFAT"/>
    <x v="0"/>
    <d v="1899-12-30T07:50:00"/>
    <d v="1899-12-30T08:45:00"/>
    <d v="1899-12-30T00:55:00"/>
    <d v="1899-12-30T00:00:00"/>
    <m/>
    <m/>
    <m/>
    <m/>
    <m/>
    <m/>
    <m/>
    <m/>
    <m/>
    <d v="1899-12-30T00:55:00"/>
    <m/>
  </r>
  <r>
    <d v="2000-07-30T00:00:00"/>
    <x v="4"/>
    <s v="S"/>
    <x v="0"/>
    <s v="AA-5"/>
    <x v="14"/>
    <x v="4"/>
    <s v="P1"/>
    <s v="EGKA"/>
    <x v="3"/>
    <d v="1899-12-30T15:35:00"/>
    <d v="1899-12-30T16:35:00"/>
    <d v="1899-12-30T01:00:00"/>
    <d v="1899-12-30T00:00:00"/>
    <m/>
    <m/>
    <m/>
    <m/>
    <m/>
    <m/>
    <m/>
    <m/>
    <m/>
    <d v="1899-12-30T01:00:00"/>
    <s v="With H"/>
  </r>
  <r>
    <d v="2000-07-30T00:00:00"/>
    <x v="4"/>
    <s v="S"/>
    <x v="0"/>
    <s v="AA-5"/>
    <x v="14"/>
    <x v="4"/>
    <s v="P1"/>
    <s v="EGLS"/>
    <x v="0"/>
    <d v="1899-12-30T16:05:00"/>
    <d v="1899-12-30T16:52:00"/>
    <d v="1899-12-30T00:47:00"/>
    <d v="1899-12-30T00:00:00"/>
    <m/>
    <m/>
    <m/>
    <m/>
    <m/>
    <m/>
    <m/>
    <m/>
    <m/>
    <d v="1899-12-30T00:47:00"/>
    <m/>
  </r>
  <r>
    <d v="2000-08-12T00:00:00"/>
    <x v="3"/>
    <s v="S"/>
    <x v="0"/>
    <s v="PA28-235"/>
    <x v="13"/>
    <x v="4"/>
    <s v="P1"/>
    <s v="EGKA"/>
    <x v="10"/>
    <d v="1899-12-30T15:07:00"/>
    <d v="1899-12-30T16:30:00"/>
    <d v="1899-12-30T01:23:00"/>
    <d v="1899-12-30T00:00:00"/>
    <m/>
    <m/>
    <m/>
    <m/>
    <m/>
    <m/>
    <m/>
    <m/>
    <m/>
    <d v="1899-12-30T01:23:00"/>
    <s v="With H"/>
  </r>
  <r>
    <d v="2000-08-12T00:00:00"/>
    <x v="3"/>
    <s v="S"/>
    <x v="0"/>
    <s v="PA28-235"/>
    <x v="13"/>
    <x v="4"/>
    <s v="P1"/>
    <s v="EGBS"/>
    <x v="0"/>
    <d v="1899-12-30T17:05:00"/>
    <d v="1899-12-30T18:23:00"/>
    <d v="1899-12-30T01:18:00"/>
    <d v="1899-12-30T00:00:00"/>
    <m/>
    <m/>
    <m/>
    <m/>
    <m/>
    <m/>
    <m/>
    <m/>
    <m/>
    <d v="1899-12-30T01:18:00"/>
    <m/>
  </r>
  <r>
    <d v="2000-08-13T00:00:00"/>
    <x v="5"/>
    <s v="S"/>
    <x v="0"/>
    <s v="Archer-III"/>
    <x v="15"/>
    <x v="4"/>
    <s v="P1"/>
    <s v="EGKA"/>
    <x v="9"/>
    <d v="1899-12-30T12:40:00"/>
    <d v="1899-12-30T13:45:00"/>
    <d v="1899-12-30T01:05:00"/>
    <d v="1899-12-30T00:00:00"/>
    <m/>
    <m/>
    <m/>
    <m/>
    <m/>
    <m/>
    <m/>
    <m/>
    <m/>
    <d v="1899-12-30T01:05:00"/>
    <s v="With H &amp; Warren"/>
  </r>
  <r>
    <d v="2000-08-13T00:00:00"/>
    <x v="5"/>
    <s v="S"/>
    <x v="0"/>
    <s v="Archer-III"/>
    <x v="15"/>
    <x v="4"/>
    <s v="P1"/>
    <s v="EGBW"/>
    <x v="0"/>
    <d v="1899-12-30T14:30:00"/>
    <d v="1899-12-30T15:40:00"/>
    <d v="1899-12-30T01:10:00"/>
    <d v="1899-12-30T00:00:00"/>
    <m/>
    <m/>
    <m/>
    <m/>
    <m/>
    <m/>
    <m/>
    <m/>
    <m/>
    <d v="1899-12-30T01:10:00"/>
    <m/>
  </r>
  <r>
    <d v="2000-08-27T00:00:00"/>
    <x v="6"/>
    <s v="S"/>
    <x v="0"/>
    <s v="DHC-1"/>
    <x v="16"/>
    <x v="7"/>
    <s v="PUT"/>
    <s v="EGKA"/>
    <x v="0"/>
    <d v="1899-12-30T13:40:00"/>
    <d v="1899-12-30T14:45:00"/>
    <d v="1899-12-30T00:00:00"/>
    <d v="1899-12-30T01:05:00"/>
    <m/>
    <m/>
    <m/>
    <m/>
    <m/>
    <m/>
    <m/>
    <m/>
    <m/>
    <d v="1899-12-30T01:05:00"/>
    <s v="Diff Training - Present from H"/>
  </r>
  <r>
    <d v="2000-09-04T00:00:00"/>
    <x v="3"/>
    <s v="S"/>
    <x v="0"/>
    <s v="PA28-235"/>
    <x v="13"/>
    <x v="4"/>
    <s v="P1"/>
    <s v="EGKA"/>
    <x v="15"/>
    <d v="1899-12-30T13:07:00"/>
    <d v="1899-12-30T16:01:00"/>
    <d v="1899-12-30T02:54:00"/>
    <d v="1899-12-30T00:00:00"/>
    <m/>
    <m/>
    <m/>
    <m/>
    <m/>
    <m/>
    <n v="0.5"/>
    <m/>
    <m/>
    <d v="1899-12-30T02:54:00"/>
    <s v="SAM, STU"/>
  </r>
  <r>
    <d v="2000-09-05T00:00:00"/>
    <x v="3"/>
    <s v="S"/>
    <x v="0"/>
    <s v="PA28-235"/>
    <x v="13"/>
    <x v="4"/>
    <s v="P1"/>
    <s v="EIWT"/>
    <x v="0"/>
    <d v="1899-12-30T10:15:00"/>
    <d v="1899-12-30T12:48:00"/>
    <d v="1899-12-30T02:33:00"/>
    <d v="1899-12-30T00:00:00"/>
    <m/>
    <m/>
    <m/>
    <m/>
    <m/>
    <m/>
    <n v="1"/>
    <m/>
    <m/>
    <d v="1899-12-30T02:33:00"/>
    <s v="IMC STU to Aldbury"/>
  </r>
  <r>
    <d v="2000-09-23T00:00:00"/>
    <x v="3"/>
    <s v="S"/>
    <x v="0"/>
    <s v="PA28-235"/>
    <x v="13"/>
    <x v="4"/>
    <s v="P1"/>
    <s v="EGKA"/>
    <x v="16"/>
    <d v="1899-12-30T12:58:00"/>
    <d v="1899-12-30T15:16:00"/>
    <d v="1899-12-30T02:18:00"/>
    <d v="1899-12-30T00:00:00"/>
    <m/>
    <m/>
    <m/>
    <m/>
    <m/>
    <m/>
    <m/>
    <m/>
    <m/>
    <d v="1899-12-30T02:18:00"/>
    <s v="25 mins in hold at EGKA"/>
  </r>
  <r>
    <d v="2000-09-24T00:00:00"/>
    <x v="3"/>
    <s v="S"/>
    <x v="0"/>
    <s v="PA28-235"/>
    <x v="13"/>
    <x v="4"/>
    <s v="P1"/>
    <s v="EGNT"/>
    <x v="17"/>
    <d v="1899-12-30T09:15:00"/>
    <d v="1899-12-30T11:35:00"/>
    <d v="1899-12-30T02:20:00"/>
    <d v="1899-12-30T00:00:00"/>
    <m/>
    <m/>
    <m/>
    <m/>
    <m/>
    <m/>
    <n v="1.2"/>
    <m/>
    <m/>
    <d v="1899-12-30T02:20:00"/>
    <s v="Bad Weather Divert, Should have been Cov"/>
  </r>
  <r>
    <d v="2000-09-24T00:00:00"/>
    <x v="3"/>
    <s v="S"/>
    <x v="0"/>
    <s v="PA28-235"/>
    <x v="13"/>
    <x v="4"/>
    <s v="P1"/>
    <s v="EGKA"/>
    <x v="0"/>
    <d v="1899-12-30T12:55:00"/>
    <d v="1899-12-30T13:40:00"/>
    <d v="1899-12-30T00:45:00"/>
    <d v="1899-12-30T00:00:00"/>
    <m/>
    <m/>
    <m/>
    <m/>
    <m/>
    <m/>
    <m/>
    <m/>
    <m/>
    <d v="1899-12-30T00:45:00"/>
    <s v="Local with Alan &amp; Anthony"/>
  </r>
  <r>
    <d v="2000-09-24T00:00:00"/>
    <x v="3"/>
    <s v="S"/>
    <x v="0"/>
    <s v="PA28-235"/>
    <x v="13"/>
    <x v="4"/>
    <s v="P1"/>
    <s v="EGLK"/>
    <x v="0"/>
    <d v="1899-12-30T15:10:00"/>
    <d v="1899-12-30T15:50:00"/>
    <d v="1899-12-30T00:40:00"/>
    <d v="1899-12-30T00:00:00"/>
    <m/>
    <m/>
    <m/>
    <m/>
    <m/>
    <m/>
    <n v="0.3"/>
    <m/>
    <m/>
    <d v="1899-12-30T00:40:00"/>
    <s v="300 NM X Country Qual for CPL"/>
  </r>
  <r>
    <d v="2000-10-14T00:00:00"/>
    <x v="3"/>
    <s v="S"/>
    <x v="0"/>
    <s v="PA28-235"/>
    <x v="13"/>
    <x v="4"/>
    <s v="P1"/>
    <s v="EGKA"/>
    <x v="0"/>
    <d v="1899-12-30T14:15:00"/>
    <d v="1899-12-30T15:25:00"/>
    <d v="1899-12-30T01:10:00"/>
    <d v="1899-12-30T00:00:00"/>
    <m/>
    <m/>
    <m/>
    <m/>
    <m/>
    <m/>
    <m/>
    <m/>
    <m/>
    <d v="1899-12-30T01:10:00"/>
    <s v="Local"/>
  </r>
  <r>
    <d v="2000-10-22T00:00:00"/>
    <x v="5"/>
    <s v="S"/>
    <x v="0"/>
    <s v="Archer-III"/>
    <x v="17"/>
    <x v="4"/>
    <s v="P1"/>
    <s v="EGKA"/>
    <x v="0"/>
    <d v="1899-12-30T13:30:00"/>
    <d v="1899-12-30T14:35:00"/>
    <d v="1899-12-30T01:05:00"/>
    <d v="1899-12-30T00:00:00"/>
    <m/>
    <m/>
    <m/>
    <m/>
    <m/>
    <m/>
    <n v="1.1000000000000001"/>
    <m/>
    <m/>
    <d v="1899-12-30T01:05:00"/>
    <s v="Local with NDB to 03 + LLC"/>
  </r>
  <r>
    <d v="2000-11-18T00:00:00"/>
    <x v="1"/>
    <s v="S"/>
    <x v="0"/>
    <s v="PA28"/>
    <x v="18"/>
    <x v="4"/>
    <s v="P1"/>
    <s v="KTEB"/>
    <x v="18"/>
    <d v="1899-12-30T09:55:00"/>
    <d v="1899-12-30T11:00:00"/>
    <d v="1899-12-30T01:05:00"/>
    <d v="1899-12-30T00:00:00"/>
    <m/>
    <m/>
    <m/>
    <m/>
    <m/>
    <m/>
    <m/>
    <m/>
    <m/>
    <d v="1899-12-30T01:05:00"/>
    <s v="Teterborough Check out"/>
  </r>
  <r>
    <d v="2000-12-02T00:00:00"/>
    <x v="5"/>
    <s v="S"/>
    <x v="0"/>
    <s v="Archer-III"/>
    <x v="17"/>
    <x v="4"/>
    <s v="P1"/>
    <s v="EGKA"/>
    <x v="0"/>
    <d v="1899-12-30T11:15:00"/>
    <d v="1899-12-30T12:15:00"/>
    <d v="1899-12-30T01:00:00"/>
    <d v="1899-12-30T00:00:00"/>
    <m/>
    <m/>
    <m/>
    <m/>
    <m/>
    <m/>
    <m/>
    <m/>
    <m/>
    <d v="1899-12-30T01:00:00"/>
    <s v="Local (30 mins in the hold)"/>
  </r>
  <r>
    <d v="2000-12-02T00:00:00"/>
    <x v="5"/>
    <s v="S"/>
    <x v="0"/>
    <s v="Archer-III"/>
    <x v="17"/>
    <x v="4"/>
    <s v="P1"/>
    <s v="EGKA"/>
    <x v="0"/>
    <d v="1899-12-30T13:17:00"/>
    <d v="1899-12-30T15:10:00"/>
    <d v="1899-12-30T01:53:00"/>
    <d v="1899-12-30T00:00:00"/>
    <m/>
    <m/>
    <m/>
    <m/>
    <m/>
    <m/>
    <m/>
    <m/>
    <m/>
    <d v="1899-12-30T01:53:00"/>
    <s v="Local"/>
  </r>
  <r>
    <d v="2000-12-22T00:00:00"/>
    <x v="5"/>
    <s v="S"/>
    <x v="0"/>
    <s v="Archer-III"/>
    <x v="17"/>
    <x v="4"/>
    <s v="P1"/>
    <s v="EGKA"/>
    <x v="0"/>
    <d v="1899-12-30T15:05:00"/>
    <d v="1899-12-30T15:52:00"/>
    <d v="1899-12-30T00:47:00"/>
    <d v="1899-12-30T00:00:00"/>
    <m/>
    <m/>
    <m/>
    <m/>
    <m/>
    <m/>
    <n v="0.4"/>
    <m/>
    <m/>
    <d v="1899-12-30T00:47:00"/>
    <s v="local VOR tracking with Proc turn"/>
  </r>
  <r>
    <d v="2000-12-28T00:00:00"/>
    <x v="5"/>
    <s v="S"/>
    <x v="0"/>
    <s v="Archer-III"/>
    <x v="17"/>
    <x v="4"/>
    <s v="P1"/>
    <s v="EGKA"/>
    <x v="19"/>
    <d v="1899-12-30T14:30:00"/>
    <d v="1899-12-30T15:35:00"/>
    <d v="1899-12-30T01:05:00"/>
    <d v="1899-12-30T00:00:00"/>
    <m/>
    <m/>
    <m/>
    <m/>
    <m/>
    <m/>
    <n v="0.9"/>
    <m/>
    <m/>
    <d v="1899-12-30T01:05:00"/>
    <s v="Kevin Safety Pilot"/>
  </r>
  <r>
    <d v="2000-12-29T00:00:00"/>
    <x v="5"/>
    <s v="S"/>
    <x v="0"/>
    <s v="Archer-III"/>
    <x v="17"/>
    <x v="4"/>
    <s v="P1"/>
    <s v="EBOS"/>
    <x v="0"/>
    <d v="1899-12-30T11:25:00"/>
    <d v="1899-12-30T13:00:00"/>
    <d v="1899-12-30T01:35:00"/>
    <d v="1899-12-30T00:00:00"/>
    <m/>
    <m/>
    <m/>
    <m/>
    <m/>
    <m/>
    <m/>
    <m/>
    <m/>
    <d v="1899-12-30T01:35:00"/>
    <m/>
  </r>
  <r>
    <d v="2000-12-29T00:00:00"/>
    <x v="3"/>
    <s v="S"/>
    <x v="0"/>
    <s v="PA28-235"/>
    <x v="13"/>
    <x v="7"/>
    <s v="PUT"/>
    <s v="EGKA"/>
    <x v="0"/>
    <d v="1899-12-30T17:05:00"/>
    <d v="1899-12-30T18:40:00"/>
    <d v="1899-12-30T00:00:00"/>
    <m/>
    <m/>
    <m/>
    <m/>
    <d v="1899-12-30T01:35:00"/>
    <m/>
    <m/>
    <m/>
    <m/>
    <m/>
    <d v="1899-12-30T01:35:00"/>
    <s v="Ex 20, Night Familiarisation, 5 + 1, Signed"/>
  </r>
  <r>
    <d v="2000-12-30T00:00:00"/>
    <x v="3"/>
    <s v="S"/>
    <x v="0"/>
    <s v="PA28-235"/>
    <x v="13"/>
    <x v="4"/>
    <s v="P1"/>
    <s v="EGKA"/>
    <x v="0"/>
    <d v="1899-12-30T16:50:00"/>
    <d v="1899-12-30T17:40:00"/>
    <m/>
    <d v="1899-12-30T00:00:00"/>
    <m/>
    <m/>
    <d v="1899-12-30T00:50:00"/>
    <m/>
    <m/>
    <m/>
    <m/>
    <m/>
    <m/>
    <d v="1899-12-30T00:50:00"/>
    <s v="Ex 20, Night Familiarisation, 5 + 1, Signed"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2001-01-01T00:00:00"/>
    <x v="5"/>
    <s v="S"/>
    <x v="0"/>
    <s v="Archer-III"/>
    <x v="17"/>
    <x v="4"/>
    <s v="P1"/>
    <s v="EGKA"/>
    <x v="0"/>
    <d v="1899-12-30T12:20:00"/>
    <d v="1899-12-30T13:35:00"/>
    <d v="1899-12-30T01:15:00"/>
    <d v="1899-12-30T00:00:00"/>
    <m/>
    <m/>
    <m/>
    <m/>
    <m/>
    <m/>
    <n v="0.9"/>
    <m/>
    <m/>
    <d v="1899-12-30T01:15:00"/>
    <s v="Proc Turn @ SFD, S Holds @ SHM, Proc for 21"/>
  </r>
  <r>
    <d v="2001-01-04T00:00:00"/>
    <x v="7"/>
    <s v="T"/>
    <x v="2"/>
    <s v="PA34"/>
    <x v="19"/>
    <x v="4"/>
    <s v="P1"/>
    <s v="EGNT"/>
    <x v="0"/>
    <d v="1899-12-30T10:00:00"/>
    <d v="1899-12-30T12:31:00"/>
    <d v="1899-12-30T00:00:00"/>
    <d v="1899-12-30T00:00:00"/>
    <d v="1899-12-30T02:31:00"/>
    <d v="1899-12-30T00:00:00"/>
    <m/>
    <m/>
    <m/>
    <m/>
    <m/>
    <m/>
    <m/>
    <d v="1899-12-30T02:31:00"/>
    <s v="via Southend"/>
  </r>
  <r>
    <d v="2001-02-11T00:00:00"/>
    <x v="5"/>
    <s v="S"/>
    <x v="0"/>
    <s v="Archer-III"/>
    <x v="17"/>
    <x v="4"/>
    <s v="P1"/>
    <s v="EGKA"/>
    <x v="0"/>
    <d v="1899-12-30T14:00:00"/>
    <d v="1899-12-30T14:45:00"/>
    <d v="1899-12-30T00:45:00"/>
    <d v="1899-12-30T00:00:00"/>
    <m/>
    <m/>
    <m/>
    <m/>
    <m/>
    <m/>
    <n v="0.4"/>
    <m/>
    <m/>
    <d v="1899-12-30T00:45:00"/>
    <s v="Local to west, proc turn at GWC, Low level CCt for 21"/>
  </r>
  <r>
    <d v="2001-02-16T00:00:00"/>
    <x v="3"/>
    <s v="S"/>
    <x v="0"/>
    <s v="PA28-235"/>
    <x v="13"/>
    <x v="7"/>
    <s v="PUT"/>
    <s v="EGKA"/>
    <x v="0"/>
    <d v="1899-12-30T17:45:00"/>
    <d v="1899-12-30T19:00:00"/>
    <d v="1899-12-30T00:00:00"/>
    <m/>
    <m/>
    <m/>
    <m/>
    <d v="1899-12-30T01:15:00"/>
    <m/>
    <m/>
    <m/>
    <m/>
    <m/>
    <d v="1899-12-30T01:15:00"/>
    <s v="Ex 20, Night Navex Guildfordm Petersfield, Divert Goodwood, Signed"/>
  </r>
  <r>
    <d v="2001-02-17T00:00:00"/>
    <x v="8"/>
    <s v="S"/>
    <x v="0"/>
    <s v="PA-32RT"/>
    <x v="20"/>
    <x v="7"/>
    <s v="PUT"/>
    <s v="EGKA"/>
    <x v="0"/>
    <d v="1899-12-30T11:05:00"/>
    <d v="1899-12-30T12:05:00"/>
    <d v="1899-12-30T00:00:00"/>
    <d v="1899-12-30T01:00:00"/>
    <m/>
    <m/>
    <m/>
    <m/>
    <m/>
    <m/>
    <m/>
    <m/>
    <m/>
    <d v="1899-12-30T01:00:00"/>
    <s v="PA32 Checkout, Signed"/>
  </r>
  <r>
    <d v="2001-02-17T00:00:00"/>
    <x v="8"/>
    <s v="S"/>
    <x v="0"/>
    <s v="PA-32RT"/>
    <x v="20"/>
    <x v="4"/>
    <s v="P1"/>
    <s v="EGKA"/>
    <x v="0"/>
    <d v="1899-12-30T14:30:00"/>
    <d v="1899-12-30T16:05:00"/>
    <d v="1899-12-30T01:35:00"/>
    <d v="1899-12-30T00:00:00"/>
    <m/>
    <m/>
    <m/>
    <m/>
    <m/>
    <m/>
    <m/>
    <m/>
    <m/>
    <d v="1899-12-30T01:35:00"/>
    <s v="CCTS"/>
  </r>
  <r>
    <d v="2001-02-17T00:00:00"/>
    <x v="8"/>
    <s v="S"/>
    <x v="0"/>
    <s v="PA-32RT"/>
    <x v="20"/>
    <x v="7"/>
    <s v="PUT"/>
    <s v="EGKA"/>
    <x v="0"/>
    <d v="1899-12-30T17:45:00"/>
    <d v="1899-12-30T18:10:00"/>
    <d v="1899-12-30T00:00:00"/>
    <m/>
    <m/>
    <m/>
    <m/>
    <d v="1899-12-30T00:25:00"/>
    <m/>
    <m/>
    <m/>
    <m/>
    <m/>
    <d v="1899-12-30T00:25:00"/>
    <s v="Ex 20, 1 CCT, Signed"/>
  </r>
  <r>
    <d v="2001-02-17T00:00:00"/>
    <x v="8"/>
    <s v="S"/>
    <x v="0"/>
    <s v="PA-32RT"/>
    <x v="20"/>
    <x v="4"/>
    <s v="P1"/>
    <s v="EGKA"/>
    <x v="16"/>
    <d v="1899-12-30T18:10:00"/>
    <d v="1899-12-30T20:37:00"/>
    <m/>
    <d v="1899-12-30T00:00:00"/>
    <m/>
    <m/>
    <d v="1899-12-30T02:27:00"/>
    <m/>
    <m/>
    <m/>
    <m/>
    <m/>
    <m/>
    <d v="1899-12-30T02:27:00"/>
    <s v="Ex 20, Solo X Country, Southend, Lincoln, Signed"/>
  </r>
  <r>
    <d v="2001-02-18T00:00:00"/>
    <x v="8"/>
    <s v="S"/>
    <x v="0"/>
    <s v="PA-32RT"/>
    <x v="20"/>
    <x v="4"/>
    <s v="P1"/>
    <s v="EGNT"/>
    <x v="0"/>
    <d v="1899-12-30T10:20:00"/>
    <d v="1899-12-30T12:30:00"/>
    <d v="1899-12-30T02:10:00"/>
    <d v="1899-12-30T00:00:00"/>
    <m/>
    <m/>
    <m/>
    <m/>
    <m/>
    <m/>
    <n v="1.8"/>
    <m/>
    <m/>
    <d v="1899-12-30T02:10:00"/>
    <s v="GAM, CPT, GWC Above Cloud"/>
  </r>
  <r>
    <d v="2001-04-16T00:00:00"/>
    <x v="1"/>
    <s v="S"/>
    <x v="0"/>
    <s v="PA28"/>
    <x v="10"/>
    <x v="4"/>
    <s v="P1"/>
    <s v="EGKA"/>
    <x v="0"/>
    <d v="1899-12-30T13:10:00"/>
    <d v="1899-12-30T14:20:00"/>
    <d v="1899-12-30T01:10:00"/>
    <d v="1899-12-30T00:00:00"/>
    <m/>
    <m/>
    <m/>
    <m/>
    <m/>
    <m/>
    <m/>
    <m/>
    <m/>
    <d v="1899-12-30T01:10:00"/>
    <s v="Ex 10B, 12, 13, 15, 16 - Annual Checkout Terry"/>
  </r>
  <r>
    <d v="2001-04-16T00:00:00"/>
    <x v="5"/>
    <s v="S"/>
    <x v="0"/>
    <s v="Archer-III"/>
    <x v="17"/>
    <x v="4"/>
    <s v="P1"/>
    <s v="EGKA"/>
    <x v="20"/>
    <d v="1899-12-30T15:17:00"/>
    <d v="1899-12-30T16:35:00"/>
    <d v="1899-12-30T01:18:00"/>
    <d v="1899-12-30T00:00:00"/>
    <m/>
    <m/>
    <m/>
    <m/>
    <m/>
    <m/>
    <m/>
    <m/>
    <m/>
    <d v="1899-12-30T01:18:00"/>
    <m/>
  </r>
  <r>
    <d v="2001-04-16T00:00:00"/>
    <x v="5"/>
    <s v="S"/>
    <x v="0"/>
    <s v="Archer-III"/>
    <x v="17"/>
    <x v="4"/>
    <s v="P1"/>
    <s v="EGTE"/>
    <x v="0"/>
    <d v="1899-12-30T17:00:00"/>
    <d v="1899-12-30T18:33:00"/>
    <d v="1899-12-30T01:33:00"/>
    <d v="1899-12-30T00:00:00"/>
    <m/>
    <m/>
    <m/>
    <m/>
    <m/>
    <m/>
    <m/>
    <m/>
    <m/>
    <d v="1899-12-30T01:33:00"/>
    <m/>
  </r>
  <r>
    <d v="2001-04-20T00:00:00"/>
    <x v="8"/>
    <s v="S"/>
    <x v="0"/>
    <s v="PA-32RT"/>
    <x v="20"/>
    <x v="4"/>
    <s v="P1"/>
    <s v="EGKA"/>
    <x v="13"/>
    <d v="1899-12-30T11:55:00"/>
    <d v="1899-12-30T13:15:00"/>
    <d v="1899-12-30T01:20:00"/>
    <d v="1899-12-30T00:00:00"/>
    <m/>
    <m/>
    <m/>
    <m/>
    <m/>
    <m/>
    <n v="1"/>
    <m/>
    <m/>
    <d v="1899-12-30T01:20:00"/>
    <s v="2 Holds, PILS + R ILS, McKinnon"/>
  </r>
  <r>
    <d v="2001-04-20T00:00:00"/>
    <x v="8"/>
    <s v="S"/>
    <x v="0"/>
    <s v="PA-32RT"/>
    <x v="20"/>
    <x v="4"/>
    <s v="P1"/>
    <s v="EGHH"/>
    <x v="0"/>
    <d v="1899-12-30T14:15:00"/>
    <d v="1899-12-30T15:00:00"/>
    <d v="1899-12-30T00:45:00"/>
    <d v="1899-12-30T00:00:00"/>
    <m/>
    <m/>
    <m/>
    <m/>
    <m/>
    <m/>
    <m/>
    <m/>
    <m/>
    <d v="1899-12-30T00:45:00"/>
    <m/>
  </r>
  <r>
    <d v="2001-05-13T00:00:00"/>
    <x v="3"/>
    <s v="S"/>
    <x v="0"/>
    <s v="PA28-235"/>
    <x v="13"/>
    <x v="7"/>
    <s v="PUT"/>
    <s v="EGKA"/>
    <x v="0"/>
    <d v="1899-12-30T09:50:00"/>
    <d v="1899-12-30T10:25:00"/>
    <d v="1899-12-30T00:00:00"/>
    <d v="1899-12-30T00:35:00"/>
    <m/>
    <m/>
    <m/>
    <m/>
    <m/>
    <m/>
    <m/>
    <m/>
    <m/>
    <d v="1899-12-30T00:35:00"/>
    <s v="Differences Training"/>
  </r>
  <r>
    <d v="2001-05-19T00:00:00"/>
    <x v="8"/>
    <s v="S"/>
    <x v="0"/>
    <s v="PA-32RT"/>
    <x v="20"/>
    <x v="4"/>
    <s v="P1"/>
    <s v="EGKA"/>
    <x v="2"/>
    <d v="1899-12-30T13:00:00"/>
    <d v="1899-12-30T13:55:00"/>
    <d v="1899-12-30T00:55:00"/>
    <d v="1899-12-30T00:00:00"/>
    <m/>
    <m/>
    <m/>
    <m/>
    <m/>
    <m/>
    <m/>
    <m/>
    <m/>
    <d v="1899-12-30T00:55:00"/>
    <m/>
  </r>
  <r>
    <d v="2001-05-19T00:00:00"/>
    <x v="8"/>
    <s v="S"/>
    <x v="0"/>
    <s v="PA-32RT"/>
    <x v="20"/>
    <x v="4"/>
    <s v="P1"/>
    <s v="EGMD"/>
    <x v="0"/>
    <d v="1899-12-30T14:00:00"/>
    <d v="1899-12-30T14:55:00"/>
    <d v="1899-12-30T00:55:00"/>
    <d v="1899-12-30T00:00:00"/>
    <m/>
    <m/>
    <m/>
    <m/>
    <m/>
    <m/>
    <m/>
    <m/>
    <m/>
    <d v="1899-12-30T00:55:00"/>
    <s v="2 T+G @ Lydd"/>
  </r>
  <r>
    <d v="2001-05-19T00:00:00"/>
    <x v="8"/>
    <s v="S"/>
    <x v="0"/>
    <s v="PA-32RT"/>
    <x v="20"/>
    <x v="4"/>
    <s v="P1"/>
    <s v="EGKA"/>
    <x v="0"/>
    <d v="1899-12-30T15:55:00"/>
    <d v="1899-12-30T16:50:00"/>
    <d v="1899-12-30T00:55:00"/>
    <d v="1899-12-30T00:00:00"/>
    <m/>
    <m/>
    <m/>
    <m/>
    <m/>
    <m/>
    <m/>
    <m/>
    <m/>
    <d v="1899-12-30T00:55:00"/>
    <s v="With H, Newcastle, Abandonded with Suction failure"/>
  </r>
  <r>
    <d v="2001-05-20T00:00:00"/>
    <x v="3"/>
    <s v="S"/>
    <x v="0"/>
    <s v="PA28-235"/>
    <x v="13"/>
    <x v="4"/>
    <s v="P1"/>
    <s v="EGKA"/>
    <x v="7"/>
    <d v="1899-12-30T14:35:00"/>
    <d v="1899-12-30T15:30:00"/>
    <d v="1899-12-30T00:55:00"/>
    <d v="1899-12-30T00:00:00"/>
    <m/>
    <m/>
    <m/>
    <m/>
    <m/>
    <m/>
    <m/>
    <m/>
    <m/>
    <d v="1899-12-30T00:55:00"/>
    <s v="With H &amp; Warren"/>
  </r>
  <r>
    <d v="2001-05-20T00:00:00"/>
    <x v="3"/>
    <s v="S"/>
    <x v="0"/>
    <s v="PA28-235"/>
    <x v="13"/>
    <x v="4"/>
    <s v="P1"/>
    <s v="EGHA"/>
    <x v="0"/>
    <d v="1899-12-30T16:10:00"/>
    <d v="1899-12-30T16:55:00"/>
    <d v="1899-12-30T00:45:00"/>
    <d v="1899-12-30T00:00:00"/>
    <m/>
    <m/>
    <m/>
    <m/>
    <m/>
    <m/>
    <m/>
    <m/>
    <m/>
    <d v="1899-12-30T00:45:00"/>
    <m/>
  </r>
  <r>
    <d v="2001-06-05T00:00:00"/>
    <x v="1"/>
    <s v="S"/>
    <x v="0"/>
    <s v="PA28"/>
    <x v="21"/>
    <x v="4"/>
    <s v="P1"/>
    <s v="KTEB"/>
    <x v="21"/>
    <d v="1899-12-30T12:00:00"/>
    <d v="1899-12-30T12:35:00"/>
    <d v="1899-12-30T00:35:00"/>
    <d v="1899-12-30T00:00:00"/>
    <m/>
    <m/>
    <m/>
    <m/>
    <m/>
    <m/>
    <m/>
    <m/>
    <m/>
    <d v="1899-12-30T00:35:00"/>
    <s v="Morristown, Signed"/>
  </r>
  <r>
    <d v="2001-06-05T00:00:00"/>
    <x v="1"/>
    <s v="S"/>
    <x v="0"/>
    <s v="PA28"/>
    <x v="21"/>
    <x v="4"/>
    <s v="P1"/>
    <s v="KMMV"/>
    <x v="18"/>
    <d v="1899-12-30T14:00:00"/>
    <d v="1899-12-30T15:00:00"/>
    <d v="1899-12-30T01:00:00"/>
    <d v="1899-12-30T00:00:00"/>
    <m/>
    <m/>
    <m/>
    <m/>
    <m/>
    <m/>
    <m/>
    <m/>
    <m/>
    <d v="1899-12-30T01:00:00"/>
    <s v="+ Slo Flight"/>
  </r>
  <r>
    <d v="2001-06-17T00:00:00"/>
    <x v="1"/>
    <s v="S"/>
    <x v="0"/>
    <s v="PA28"/>
    <x v="10"/>
    <x v="4"/>
    <s v="P1"/>
    <s v="EGKA"/>
    <x v="0"/>
    <d v="1899-12-30T15:25:00"/>
    <d v="1899-12-30T16:25:00"/>
    <d v="1899-12-30T01:00:00"/>
    <d v="1899-12-30T00:00:00"/>
    <m/>
    <m/>
    <m/>
    <m/>
    <m/>
    <m/>
    <n v="0.5"/>
    <m/>
    <m/>
    <d v="1899-12-30T01:00:00"/>
    <s v="Attempted NDB @ SHM but ADF US"/>
  </r>
  <r>
    <d v="2001-06-17T00:00:00"/>
    <x v="1"/>
    <s v="S"/>
    <x v="0"/>
    <s v="PA28"/>
    <x v="10"/>
    <x v="4"/>
    <s v="P1"/>
    <s v="EGKA"/>
    <x v="12"/>
    <d v="1899-12-30T17:00:00"/>
    <d v="1899-12-30T17:50:00"/>
    <d v="1899-12-30T00:50:00"/>
    <d v="1899-12-30T00:00:00"/>
    <m/>
    <m/>
    <m/>
    <m/>
    <m/>
    <m/>
    <m/>
    <m/>
    <m/>
    <d v="1899-12-30T00:50:00"/>
    <m/>
  </r>
  <r>
    <d v="2001-06-17T00:00:00"/>
    <x v="1"/>
    <s v="S"/>
    <x v="0"/>
    <s v="PA28"/>
    <x v="10"/>
    <x v="4"/>
    <s v="P1"/>
    <s v="EGLM"/>
    <x v="0"/>
    <d v="1899-12-30T18:20:00"/>
    <d v="1899-12-30T19:00:00"/>
    <d v="1899-12-30T00:40:00"/>
    <d v="1899-12-30T00:00:00"/>
    <m/>
    <m/>
    <m/>
    <m/>
    <m/>
    <m/>
    <m/>
    <m/>
    <m/>
    <d v="1899-12-30T00:40:00"/>
    <m/>
  </r>
  <r>
    <d v="2001-07-08T00:00:00"/>
    <x v="5"/>
    <s v="S"/>
    <x v="0"/>
    <s v="Archer-III"/>
    <x v="17"/>
    <x v="4"/>
    <s v="P1"/>
    <s v="EGKA"/>
    <x v="0"/>
    <d v="1899-12-30T16:05:00"/>
    <d v="1899-12-30T17:00:00"/>
    <d v="1899-12-30T00:55:00"/>
    <d v="1899-12-30T00:00:00"/>
    <m/>
    <m/>
    <m/>
    <m/>
    <m/>
    <m/>
    <m/>
    <m/>
    <m/>
    <d v="1899-12-30T00:55:00"/>
    <s v="Stephen &amp; Ollie"/>
  </r>
  <r>
    <d v="2001-07-27T00:00:00"/>
    <x v="5"/>
    <s v="S"/>
    <x v="0"/>
    <s v="Archer-III"/>
    <x v="17"/>
    <x v="4"/>
    <s v="P1"/>
    <s v="LFRG"/>
    <x v="0"/>
    <d v="1899-12-30T15:25:00"/>
    <d v="1899-12-30T16:40:00"/>
    <d v="1899-12-30T01:15:00"/>
    <d v="1899-12-30T00:00:00"/>
    <m/>
    <m/>
    <m/>
    <m/>
    <m/>
    <m/>
    <n v="0.8"/>
    <m/>
    <m/>
    <d v="1899-12-30T01:15:00"/>
    <s v="Fly out + Abandoned trip to Poitiers"/>
  </r>
  <r>
    <d v="2001-07-28T00:00:00"/>
    <x v="5"/>
    <s v="S"/>
    <x v="0"/>
    <s v="Archer-III"/>
    <x v="17"/>
    <x v="4"/>
    <s v="P1"/>
    <s v="EGKA"/>
    <x v="22"/>
    <d v="1899-12-30T10:55:00"/>
    <d v="1899-12-30T12:20:00"/>
    <d v="1899-12-30T01:25:00"/>
    <d v="1899-12-30T00:00:00"/>
    <m/>
    <m/>
    <m/>
    <m/>
    <m/>
    <m/>
    <m/>
    <m/>
    <m/>
    <d v="1899-12-30T01:25:00"/>
    <s v="Half Way to Teeside, H Flew second leg"/>
  </r>
  <r>
    <d v="2001-07-29T00:00:00"/>
    <x v="5"/>
    <s v="S"/>
    <x v="0"/>
    <s v="Archer-III"/>
    <x v="17"/>
    <x v="4"/>
    <s v="P1"/>
    <s v="EGNV"/>
    <x v="23"/>
    <d v="1899-12-30T11:55:00"/>
    <d v="1899-12-30T13:55:00"/>
    <d v="1899-12-30T02:00:00"/>
    <d v="1899-12-30T00:00:00"/>
    <m/>
    <m/>
    <m/>
    <m/>
    <m/>
    <m/>
    <m/>
    <m/>
    <m/>
    <d v="1899-12-30T02:00:00"/>
    <m/>
  </r>
  <r>
    <d v="2001-08-04T00:00:00"/>
    <x v="1"/>
    <s v="S"/>
    <x v="0"/>
    <s v="PA28"/>
    <x v="22"/>
    <x v="4"/>
    <s v="P1"/>
    <s v="EGKA"/>
    <x v="5"/>
    <d v="1899-12-30T12:50:00"/>
    <d v="1899-12-30T13:35:00"/>
    <d v="1899-12-30T00:45:00"/>
    <d v="1899-12-30T00:00:00"/>
    <m/>
    <m/>
    <m/>
    <m/>
    <m/>
    <m/>
    <m/>
    <m/>
    <m/>
    <d v="1899-12-30T00:45:00"/>
    <m/>
  </r>
  <r>
    <d v="2001-08-04T00:00:00"/>
    <x v="1"/>
    <s v="S"/>
    <x v="0"/>
    <s v="PA28"/>
    <x v="22"/>
    <x v="4"/>
    <s v="P1"/>
    <s v="EGKB"/>
    <x v="0"/>
    <d v="1899-12-30T14:20:00"/>
    <d v="1899-12-30T15:05:00"/>
    <d v="1899-12-30T00:45:00"/>
    <d v="1899-12-30T00:00:00"/>
    <m/>
    <m/>
    <m/>
    <m/>
    <m/>
    <m/>
    <m/>
    <m/>
    <m/>
    <d v="1899-12-30T00:45:00"/>
    <s v="Radio Failure on return"/>
  </r>
  <r>
    <d v="2001-08-31T00:00:00"/>
    <x v="5"/>
    <s v="S"/>
    <x v="0"/>
    <s v="Archer-III"/>
    <x v="17"/>
    <x v="4"/>
    <s v="P1"/>
    <s v="EGKA"/>
    <x v="2"/>
    <d v="1899-12-30T10:30:00"/>
    <d v="1899-12-30T11:15:00"/>
    <d v="1899-12-30T00:45:00"/>
    <d v="1899-12-30T00:00:00"/>
    <m/>
    <m/>
    <m/>
    <m/>
    <m/>
    <m/>
    <m/>
    <m/>
    <m/>
    <d v="1899-12-30T00:45:00"/>
    <s v="Belgian Tour, left to get out of Airshow"/>
  </r>
  <r>
    <d v="2001-08-31T00:00:00"/>
    <x v="5"/>
    <s v="S"/>
    <x v="0"/>
    <s v="Archer-III"/>
    <x v="17"/>
    <x v="4"/>
    <s v="P1"/>
    <s v="EGMD"/>
    <x v="19"/>
    <d v="1899-12-30T12:15:00"/>
    <d v="1899-12-30T13:10:00"/>
    <d v="1899-12-30T00:55:00"/>
    <d v="1899-12-30T00:00:00"/>
    <m/>
    <m/>
    <m/>
    <m/>
    <m/>
    <m/>
    <m/>
    <m/>
    <m/>
    <d v="1899-12-30T00:55:00"/>
    <m/>
  </r>
  <r>
    <d v="2001-09-09T00:00:00"/>
    <x v="1"/>
    <s v="S"/>
    <x v="0"/>
    <s v="PA28"/>
    <x v="23"/>
    <x v="4"/>
    <s v="P1"/>
    <s v="EGKA"/>
    <x v="9"/>
    <d v="1899-12-30T12:28:00"/>
    <d v="1899-12-30T13:57:00"/>
    <d v="1899-12-30T01:29:00"/>
    <d v="1899-12-30T00:00:00"/>
    <m/>
    <m/>
    <m/>
    <m/>
    <m/>
    <m/>
    <m/>
    <m/>
    <m/>
    <d v="1899-12-30T01:29:00"/>
    <s v="With H"/>
  </r>
  <r>
    <d v="2001-09-09T00:00:00"/>
    <x v="1"/>
    <s v="S"/>
    <x v="0"/>
    <s v="PA28"/>
    <x v="23"/>
    <x v="4"/>
    <s v="P1"/>
    <s v="EGBW"/>
    <x v="0"/>
    <d v="1899-12-30T15:30:00"/>
    <d v="1899-12-30T17:50:00"/>
    <d v="1899-12-30T02:20:00"/>
    <d v="1899-12-30T00:00:00"/>
    <m/>
    <m/>
    <m/>
    <m/>
    <m/>
    <m/>
    <m/>
    <m/>
    <m/>
    <d v="1899-12-30T02:20:00"/>
    <s v="Returned overhead Napton"/>
  </r>
  <r>
    <d v="2001-09-23T00:00:00"/>
    <x v="1"/>
    <s v="S"/>
    <x v="0"/>
    <s v="PA28"/>
    <x v="10"/>
    <x v="4"/>
    <s v="P1"/>
    <s v="EGKA"/>
    <x v="0"/>
    <d v="1899-12-30T15:25:00"/>
    <d v="1899-12-30T16:00:00"/>
    <d v="1899-12-30T00:35:00"/>
    <d v="1899-12-30T00:00:00"/>
    <m/>
    <m/>
    <m/>
    <m/>
    <m/>
    <m/>
    <m/>
    <m/>
    <m/>
    <d v="1899-12-30T00:35:00"/>
    <s v="Abandoned flight to Fairoaks, long hold for 07"/>
  </r>
  <r>
    <d v="2001-10-13T00:00:00"/>
    <x v="1"/>
    <s v="S"/>
    <x v="0"/>
    <s v="PA28"/>
    <x v="23"/>
    <x v="4"/>
    <s v="P1"/>
    <s v="EGKA"/>
    <x v="24"/>
    <d v="1899-12-30T14:05:00"/>
    <d v="1899-12-30T15:30:00"/>
    <d v="1899-12-30T01:25:00"/>
    <d v="1899-12-30T00:00:00"/>
    <m/>
    <m/>
    <m/>
    <m/>
    <m/>
    <m/>
    <n v="0.5"/>
    <m/>
    <m/>
    <d v="1899-12-30T01:25:00"/>
    <s v="Sam &amp; H, Haze in channel"/>
  </r>
  <r>
    <d v="2001-10-20T00:00:00"/>
    <x v="1"/>
    <s v="S"/>
    <x v="0"/>
    <s v="PA28"/>
    <x v="23"/>
    <x v="4"/>
    <s v="P1"/>
    <s v="EGKA"/>
    <x v="0"/>
    <d v="1899-12-30T15:55:00"/>
    <d v="1899-12-30T16:48:00"/>
    <d v="1899-12-30T00:53:00"/>
    <d v="1899-12-30T00:00:00"/>
    <m/>
    <m/>
    <m/>
    <m/>
    <m/>
    <m/>
    <n v="0.7"/>
    <m/>
    <m/>
    <d v="1899-12-30T00:53:00"/>
    <s v="2 holds + 21 proc"/>
  </r>
  <r>
    <d v="2001-11-04T00:00:00"/>
    <x v="1"/>
    <s v="S"/>
    <x v="0"/>
    <s v="PA28"/>
    <x v="22"/>
    <x v="4"/>
    <s v="P1"/>
    <s v="EGBW"/>
    <x v="0"/>
    <d v="1899-12-30T10:35:00"/>
    <d v="1899-12-30T12:05:00"/>
    <d v="1899-12-30T01:30:00"/>
    <d v="1899-12-30T00:00:00"/>
    <m/>
    <m/>
    <m/>
    <m/>
    <m/>
    <m/>
    <n v="0.5"/>
    <m/>
    <m/>
    <d v="1899-12-30T01:30:00"/>
    <s v="Bad WX Divert via SAM and the coast"/>
  </r>
  <r>
    <d v="2001-11-10T00:00:00"/>
    <x v="1"/>
    <s v="S"/>
    <x v="0"/>
    <s v="PA28"/>
    <x v="22"/>
    <x v="4"/>
    <s v="P1"/>
    <s v="EGKA"/>
    <x v="0"/>
    <d v="1899-12-30T16:50:00"/>
    <d v="1899-12-30T18:05:00"/>
    <m/>
    <d v="1899-12-30T00:00:00"/>
    <m/>
    <m/>
    <d v="1899-12-30T01:15:00"/>
    <m/>
    <m/>
    <m/>
    <m/>
    <m/>
    <m/>
    <d v="1899-12-30T01:15:00"/>
    <s v="Isle of W, Petersfield"/>
  </r>
  <r>
    <d v="2001-11-11T00:00:00"/>
    <x v="1"/>
    <s v="S"/>
    <x v="0"/>
    <s v="PA28"/>
    <x v="10"/>
    <x v="4"/>
    <s v="P1"/>
    <s v="EGKA"/>
    <x v="0"/>
    <d v="1899-12-30T15:25:00"/>
    <d v="1899-12-30T16:35:00"/>
    <d v="1899-12-30T01:10:00"/>
    <d v="1899-12-30T00:00:00"/>
    <m/>
    <m/>
    <m/>
    <m/>
    <m/>
    <m/>
    <m/>
    <m/>
    <m/>
    <d v="1899-12-30T01:10:00"/>
    <s v="Local, H &amp; Warren"/>
  </r>
  <r>
    <d v="2001-11-11T00:00:00"/>
    <x v="1"/>
    <s v="S"/>
    <x v="0"/>
    <s v="PA28"/>
    <x v="10"/>
    <x v="4"/>
    <s v="P1"/>
    <s v="EGKA"/>
    <x v="0"/>
    <d v="1899-12-30T18:00:00"/>
    <d v="1899-12-30T18:30:00"/>
    <m/>
    <d v="1899-12-30T00:00:00"/>
    <m/>
    <m/>
    <d v="1899-12-30T00:30:00"/>
    <m/>
    <m/>
    <m/>
    <m/>
    <m/>
    <m/>
    <d v="1899-12-30T00:30:00"/>
    <s v="Local , Warren"/>
  </r>
  <r>
    <d v="2001-11-17T00:00:00"/>
    <x v="1"/>
    <s v="S"/>
    <x v="0"/>
    <s v="PA28"/>
    <x v="23"/>
    <x v="4"/>
    <s v="P1"/>
    <s v="EGKA"/>
    <x v="6"/>
    <d v="1899-12-30T14:40:00"/>
    <d v="1899-12-30T15:55:00"/>
    <d v="1899-12-30T01:15:00"/>
    <d v="1899-12-30T00:00:00"/>
    <m/>
    <m/>
    <m/>
    <m/>
    <m/>
    <m/>
    <n v="1"/>
    <m/>
    <m/>
    <d v="1899-12-30T01:15:00"/>
    <s v="IMC + RAD Vec ILS with H"/>
  </r>
  <r>
    <d v="2001-11-17T00:00:00"/>
    <x v="1"/>
    <s v="S"/>
    <x v="0"/>
    <s v="PA28"/>
    <x v="23"/>
    <x v="4"/>
    <s v="P1"/>
    <s v="EGMC"/>
    <x v="0"/>
    <d v="1899-12-30T16:05:00"/>
    <d v="1899-12-30T17:04:00"/>
    <d v="1899-12-30T00:34:00"/>
    <d v="1899-12-30T00:00:00"/>
    <m/>
    <m/>
    <d v="1899-12-30T00:25:00"/>
    <m/>
    <m/>
    <m/>
    <m/>
    <m/>
    <m/>
    <d v="1899-12-30T00:59:00"/>
    <m/>
  </r>
  <r>
    <d v="2001-11-24T00:00:00"/>
    <x v="7"/>
    <s v="T"/>
    <x v="2"/>
    <s v="PA34"/>
    <x v="19"/>
    <x v="10"/>
    <s v="PUT"/>
    <s v="EGKA"/>
    <x v="0"/>
    <d v="1899-12-30T14:05:00"/>
    <d v="1899-12-30T15:05:00"/>
    <d v="1899-12-30T00:00:00"/>
    <d v="1899-12-30T00:00:00"/>
    <d v="1899-12-30T00:00:00"/>
    <d v="1899-12-30T01:00:00"/>
    <m/>
    <m/>
    <m/>
    <m/>
    <m/>
    <m/>
    <m/>
    <d v="1899-12-30T01:00:00"/>
    <s v="General Handling &amp; Circuits"/>
  </r>
  <r>
    <d v="2001-12-02T00:00:00"/>
    <x v="7"/>
    <s v="T"/>
    <x v="2"/>
    <s v="PA34"/>
    <x v="19"/>
    <x v="10"/>
    <s v="PUT"/>
    <s v="EGKA"/>
    <x v="0"/>
    <d v="1899-12-30T15:05:00"/>
    <d v="1899-12-30T15:50:00"/>
    <d v="1899-12-30T00:00:00"/>
    <d v="1899-12-30T00:00:00"/>
    <d v="1899-12-30T00:00:00"/>
    <d v="1899-12-30T00:45:00"/>
    <m/>
    <m/>
    <m/>
    <m/>
    <n v="0.3"/>
    <m/>
    <m/>
    <d v="1899-12-30T00:45:00"/>
    <s v="Handling &amp; Circuits - Abandoned"/>
  </r>
  <r>
    <d v="2001-12-07T00:00:00"/>
    <x v="7"/>
    <s v="T"/>
    <x v="2"/>
    <s v="PA34"/>
    <x v="19"/>
    <x v="10"/>
    <s v="PUT"/>
    <s v="EGKA"/>
    <x v="0"/>
    <d v="1899-12-30T11:15:00"/>
    <d v="1899-12-30T12:15:00"/>
    <d v="1899-12-30T00:00:00"/>
    <d v="1899-12-30T00:00:00"/>
    <d v="1899-12-30T00:00:00"/>
    <d v="1899-12-30T01:00:00"/>
    <m/>
    <m/>
    <m/>
    <m/>
    <m/>
    <m/>
    <m/>
    <d v="1899-12-30T01:00:00"/>
    <s v="6 + 1, Low approach &amp; Go around"/>
  </r>
  <r>
    <d v="2001-12-07T00:00:00"/>
    <x v="7"/>
    <s v="T"/>
    <x v="2"/>
    <s v="PA34"/>
    <x v="19"/>
    <x v="10"/>
    <s v="PUT"/>
    <s v="EGKA"/>
    <x v="0"/>
    <d v="1899-12-30T14:25:00"/>
    <d v="1899-12-30T15:45:00"/>
    <d v="1899-12-30T00:00:00"/>
    <d v="1899-12-30T00:00:00"/>
    <d v="1899-12-30T00:00:00"/>
    <d v="1899-12-30T01:20:00"/>
    <m/>
    <m/>
    <m/>
    <m/>
    <m/>
    <m/>
    <m/>
    <d v="1899-12-30T01:20:00"/>
    <s v="Asymetric part 1"/>
  </r>
  <r>
    <d v="2001-12-08T00:00:00"/>
    <x v="7"/>
    <s v="T"/>
    <x v="2"/>
    <s v="PA34"/>
    <x v="19"/>
    <x v="10"/>
    <s v="PUT"/>
    <s v="EGKA"/>
    <x v="0"/>
    <d v="1899-12-30T12:30:00"/>
    <d v="1899-12-30T13:20:00"/>
    <d v="1899-12-30T00:00:00"/>
    <d v="1899-12-30T00:00:00"/>
    <d v="1899-12-30T00:00:00"/>
    <d v="1899-12-30T00:50:00"/>
    <m/>
    <m/>
    <m/>
    <m/>
    <m/>
    <m/>
    <m/>
    <d v="1899-12-30T00:50:00"/>
    <s v="Asymetric CCTS 3 + Low App &amp; Go around"/>
  </r>
  <r>
    <d v="2001-12-08T00:00:00"/>
    <x v="1"/>
    <s v="S"/>
    <x v="0"/>
    <s v="PA28"/>
    <x v="10"/>
    <x v="4"/>
    <s v="P1"/>
    <s v="EGKA"/>
    <x v="0"/>
    <d v="1899-12-30T14:35:00"/>
    <d v="1899-12-30T15:55:00"/>
    <d v="1899-12-30T01:20:00"/>
    <d v="1899-12-30T00:00:00"/>
    <d v="1899-12-30T00:00:00"/>
    <d v="1899-12-30T00:00:00"/>
    <m/>
    <m/>
    <m/>
    <m/>
    <n v="0.2"/>
    <m/>
    <m/>
    <d v="1899-12-30T01:20:00"/>
    <s v="Local with Dale, proc turn @ GWC"/>
  </r>
  <r>
    <d v="2001-12-10T00:00:00"/>
    <x v="7"/>
    <s v="T"/>
    <x v="2"/>
    <s v="PA34"/>
    <x v="19"/>
    <x v="10"/>
    <s v="PUT"/>
    <s v="EGKA"/>
    <x v="25"/>
    <d v="1899-12-30T11:30:00"/>
    <d v="1899-12-30T12:35:00"/>
    <d v="1899-12-30T00:00:00"/>
    <d v="1899-12-30T00:00:00"/>
    <d v="1899-12-30T00:00:00"/>
    <d v="1899-12-30T01:05:00"/>
    <m/>
    <m/>
    <m/>
    <m/>
    <m/>
    <m/>
    <m/>
    <d v="1899-12-30T01:05:00"/>
    <s v="Inc simulated fuel failure"/>
  </r>
  <r>
    <d v="2001-12-10T00:00:00"/>
    <x v="7"/>
    <s v="T"/>
    <x v="2"/>
    <s v="PA34"/>
    <x v="19"/>
    <x v="10"/>
    <s v="PUT"/>
    <s v="LFAC"/>
    <x v="0"/>
    <d v="1899-12-30T15:10:00"/>
    <d v="1899-12-30T16:10:00"/>
    <d v="1899-12-30T00:00:00"/>
    <d v="1899-12-30T00:00:00"/>
    <d v="1899-12-30T00:00:00"/>
    <d v="1899-12-30T01:00:00"/>
    <m/>
    <m/>
    <m/>
    <m/>
    <m/>
    <m/>
    <m/>
    <d v="1899-12-30T01:00:00"/>
    <s v="2 * Asym app + GA @ EGKA"/>
  </r>
  <r>
    <d v="2001-12-14T00:00:00"/>
    <x v="7"/>
    <s v="T"/>
    <x v="2"/>
    <s v="PA34"/>
    <x v="19"/>
    <x v="10"/>
    <s v="PUT"/>
    <s v="EGKA"/>
    <x v="0"/>
    <d v="1899-12-30T12:50:00"/>
    <d v="1899-12-30T13:35:00"/>
    <d v="1899-12-30T00:00:00"/>
    <d v="1899-12-30T00:00:00"/>
    <d v="1899-12-30T00:00:00"/>
    <d v="1899-12-30T00:45:00"/>
    <m/>
    <m/>
    <m/>
    <m/>
    <m/>
    <m/>
    <m/>
    <d v="1899-12-30T00:45:00"/>
    <s v="Engine failure + restart, 1 + 1 asym"/>
  </r>
  <r>
    <d v="2001-12-21T00:00:00"/>
    <x v="7"/>
    <s v="T"/>
    <x v="2"/>
    <s v="PA34"/>
    <x v="19"/>
    <x v="4"/>
    <s v="P1"/>
    <s v="EGKA"/>
    <x v="0"/>
    <d v="1899-12-30T14:50:00"/>
    <d v="1899-12-30T16:00:00"/>
    <d v="1899-12-30T00:00:00"/>
    <d v="1899-12-30T00:00:00"/>
    <d v="1899-12-30T01:10:00"/>
    <d v="1899-12-30T00:00:00"/>
    <m/>
    <m/>
    <m/>
    <m/>
    <m/>
    <m/>
    <m/>
    <d v="1899-12-30T01:10:00"/>
    <s v="Flight test with D Pooley"/>
  </r>
  <r>
    <d v="2001-12-27T00:00:00"/>
    <x v="7"/>
    <s v="T"/>
    <x v="2"/>
    <s v="PA34"/>
    <x v="19"/>
    <x v="4"/>
    <s v="P1"/>
    <s v="EGKA"/>
    <x v="0"/>
    <d v="1899-12-30T13:25:00"/>
    <d v="1899-12-30T14:20:00"/>
    <d v="1899-12-30T00:00:00"/>
    <d v="1899-12-30T00:00:00"/>
    <d v="1899-12-30T00:55:00"/>
    <d v="1899-12-30T00:00:00"/>
    <m/>
    <m/>
    <m/>
    <m/>
    <m/>
    <m/>
    <m/>
    <d v="1899-12-30T00:55:00"/>
    <s v="Isle of Wight (H, Chris &amp; Dale)"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2002-01-02T00:00:00"/>
    <x v="7"/>
    <s v="T"/>
    <x v="2"/>
    <s v="PA34"/>
    <x v="19"/>
    <x v="4"/>
    <s v="P1"/>
    <s v="EGKA"/>
    <x v="0"/>
    <d v="1899-12-30T16:05:00"/>
    <d v="1899-12-30T17:55:00"/>
    <d v="1899-12-30T00:00:00"/>
    <d v="1899-12-30T00:00:00"/>
    <d v="1899-12-30T00:20:00"/>
    <d v="1899-12-30T00:00:00"/>
    <m/>
    <m/>
    <d v="1899-12-30T01:30:00"/>
    <m/>
    <n v="1.2"/>
    <m/>
    <m/>
    <d v="1899-12-30T01:50:00"/>
    <s v="ILS * 3 (1 ASYM) @ Southend, Chowen as safety pilot"/>
  </r>
  <r>
    <d v="2002-01-03T00:00:00"/>
    <x v="7"/>
    <s v="T"/>
    <x v="2"/>
    <s v="PA34"/>
    <x v="19"/>
    <x v="4"/>
    <s v="P1"/>
    <s v="EGKA"/>
    <x v="16"/>
    <d v="1899-12-30T15:00:00"/>
    <d v="1899-12-30T16:47:00"/>
    <d v="1899-12-30T00:00:00"/>
    <d v="1899-12-30T00:00:00"/>
    <d v="1899-12-30T01:30:00"/>
    <d v="1899-12-30T00:00:00"/>
    <m/>
    <m/>
    <d v="1899-12-30T00:17:00"/>
    <m/>
    <n v="0.3"/>
    <m/>
    <m/>
    <d v="1899-12-30T01:47:00"/>
    <s v="With Mick, brief ILS to 1500'"/>
  </r>
  <r>
    <d v="2002-02-02T00:00:00"/>
    <x v="1"/>
    <s v="S"/>
    <x v="0"/>
    <s v="PA28"/>
    <x v="23"/>
    <x v="4"/>
    <s v="P1"/>
    <s v="EGKA"/>
    <x v="0"/>
    <d v="1899-12-30T14:25:00"/>
    <d v="1899-12-30T15:25:00"/>
    <d v="1899-12-30T01:00:00"/>
    <d v="1899-12-30T00:00:00"/>
    <d v="1899-12-30T00:00:00"/>
    <d v="1899-12-30T00:00:00"/>
    <m/>
    <m/>
    <m/>
    <m/>
    <m/>
    <m/>
    <m/>
    <d v="1899-12-30T01:00:00"/>
    <s v="Local, steep turns"/>
  </r>
  <r>
    <d v="2002-02-24T00:00:00"/>
    <x v="7"/>
    <s v="T"/>
    <x v="2"/>
    <s v="PA34"/>
    <x v="19"/>
    <x v="4"/>
    <s v="P1"/>
    <s v="EGKA"/>
    <x v="0"/>
    <d v="1899-12-30T10:30:00"/>
    <d v="1899-12-30T11:05:00"/>
    <d v="1899-12-30T00:00:00"/>
    <d v="1899-12-30T00:00:00"/>
    <d v="1899-12-30T00:35:00"/>
    <d v="1899-12-30T00:00:00"/>
    <m/>
    <m/>
    <m/>
    <m/>
    <m/>
    <m/>
    <m/>
    <d v="1899-12-30T00:35:00"/>
    <s v="Local with H, WX Bad"/>
  </r>
  <r>
    <d v="2002-03-10T00:00:00"/>
    <x v="1"/>
    <s v="S"/>
    <x v="0"/>
    <s v="PA28"/>
    <x v="23"/>
    <x v="11"/>
    <s v="PUT"/>
    <s v="EGKA"/>
    <x v="0"/>
    <d v="1899-12-30T10:30:00"/>
    <d v="1899-12-30T11:40:00"/>
    <d v="1899-12-30T00:00:00"/>
    <d v="1899-12-30T01:10:00"/>
    <d v="1899-12-30T00:00:00"/>
    <d v="1899-12-30T00:00:00"/>
    <m/>
    <m/>
    <m/>
    <m/>
    <m/>
    <m/>
    <m/>
    <d v="1899-12-30T01:10:00"/>
    <s v="Checkout, 2 * PFL"/>
  </r>
  <r>
    <d v="2002-03-28T00:00:00"/>
    <x v="1"/>
    <s v="S"/>
    <x v="0"/>
    <s v="PA28"/>
    <x v="24"/>
    <x v="4"/>
    <s v="P1"/>
    <s v="EGKA"/>
    <x v="0"/>
    <d v="1899-12-30T14:00:00"/>
    <d v="1899-12-30T14:30:00"/>
    <d v="1899-12-30T00:30:00"/>
    <d v="1899-12-30T00:00:00"/>
    <d v="1899-12-30T00:00:00"/>
    <d v="1899-12-30T00:00:00"/>
    <m/>
    <m/>
    <m/>
    <m/>
    <m/>
    <m/>
    <m/>
    <d v="1899-12-30T00:30:00"/>
    <s v="Airbase checkout - M Weeks"/>
  </r>
  <r>
    <d v="2002-03-29T00:00:00"/>
    <x v="7"/>
    <s v="T"/>
    <x v="2"/>
    <s v="PA34"/>
    <x v="19"/>
    <x v="4"/>
    <s v="P1"/>
    <s v="EGKA"/>
    <x v="26"/>
    <d v="1899-12-30T12:30:00"/>
    <d v="1899-12-30T13:53:00"/>
    <d v="1899-12-30T00:00:00"/>
    <d v="1899-12-30T00:00:00"/>
    <d v="1899-12-30T01:23:00"/>
    <d v="1899-12-30T00:00:00"/>
    <m/>
    <m/>
    <m/>
    <m/>
    <m/>
    <m/>
    <m/>
    <d v="1899-12-30T01:23:00"/>
    <s v="With H, Bad Viz"/>
  </r>
  <r>
    <d v="2002-03-29T00:00:00"/>
    <x v="7"/>
    <s v="T"/>
    <x v="2"/>
    <s v="PA34"/>
    <x v="19"/>
    <x v="4"/>
    <s v="P1"/>
    <s v="EGCV"/>
    <x v="26"/>
    <d v="1899-12-30T16:50:00"/>
    <d v="1899-12-30T17:15:00"/>
    <d v="1899-12-30T00:00:00"/>
    <d v="1899-12-30T00:00:00"/>
    <d v="1899-12-30T00:25:00"/>
    <d v="1899-12-30T00:00:00"/>
    <m/>
    <m/>
    <m/>
    <m/>
    <m/>
    <m/>
    <m/>
    <d v="1899-12-30T00:25:00"/>
    <m/>
  </r>
  <r>
    <d v="2002-03-29T00:00:00"/>
    <x v="7"/>
    <s v="T"/>
    <x v="2"/>
    <s v="PA34"/>
    <x v="19"/>
    <x v="4"/>
    <s v="P1"/>
    <s v="EGCV"/>
    <x v="0"/>
    <d v="1899-12-30T17:45:00"/>
    <d v="1899-12-30T19:05:00"/>
    <d v="1899-12-30T00:00:00"/>
    <d v="1899-12-30T00:00:00"/>
    <d v="1899-12-30T00:45:00"/>
    <d v="1899-12-30T00:00:00"/>
    <m/>
    <m/>
    <d v="1899-12-30T00:35:00"/>
    <m/>
    <m/>
    <m/>
    <m/>
    <d v="1899-12-30T01:20:00"/>
    <m/>
  </r>
  <r>
    <d v="2002-04-03T00:00:00"/>
    <x v="1"/>
    <s v="S"/>
    <x v="0"/>
    <s v="PA28"/>
    <x v="25"/>
    <x v="4"/>
    <s v="P1"/>
    <s v="LFAT"/>
    <x v="0"/>
    <d v="1899-12-30T15:18:00"/>
    <d v="1899-12-30T16:15:00"/>
    <d v="1899-12-30T00:57:00"/>
    <d v="1899-12-30T00:00:00"/>
    <d v="1899-12-30T00:00:00"/>
    <d v="1899-12-30T00:00:00"/>
    <m/>
    <m/>
    <m/>
    <m/>
    <m/>
    <m/>
    <m/>
    <d v="1899-12-30T00:57:00"/>
    <s v="With Simon and Richard"/>
  </r>
  <r>
    <d v="2002-04-12T00:00:00"/>
    <x v="7"/>
    <s v="T"/>
    <x v="2"/>
    <s v="PA34"/>
    <x v="19"/>
    <x v="4"/>
    <s v="P1"/>
    <s v="EGKA"/>
    <x v="9"/>
    <d v="1899-12-30T15:25:00"/>
    <d v="1899-12-30T16:32:00"/>
    <d v="1899-12-30T00:00:00"/>
    <d v="1899-12-30T00:00:00"/>
    <d v="1899-12-30T01:07:00"/>
    <d v="1899-12-30T00:00:00"/>
    <m/>
    <m/>
    <m/>
    <m/>
    <m/>
    <m/>
    <m/>
    <d v="1899-12-30T01:07:00"/>
    <s v="With Dale"/>
  </r>
  <r>
    <d v="2002-04-12T00:00:00"/>
    <x v="7"/>
    <s v="T"/>
    <x v="2"/>
    <s v="PA34"/>
    <x v="19"/>
    <x v="4"/>
    <s v="P1"/>
    <s v="EGBW"/>
    <x v="0"/>
    <d v="1899-12-30T17:31:00"/>
    <d v="1899-12-30T18:29:00"/>
    <d v="1899-12-30T00:00:00"/>
    <d v="1899-12-30T00:00:00"/>
    <d v="1899-12-30T00:58:00"/>
    <d v="1899-12-30T00:00:00"/>
    <m/>
    <m/>
    <m/>
    <m/>
    <m/>
    <m/>
    <m/>
    <d v="1899-12-30T00:58:00"/>
    <m/>
  </r>
  <r>
    <d v="2002-04-27T00:00:00"/>
    <x v="1"/>
    <s v="S"/>
    <x v="0"/>
    <s v="PA28"/>
    <x v="10"/>
    <x v="4"/>
    <s v="P1"/>
    <s v="EGKA"/>
    <x v="27"/>
    <d v="1899-12-30T10:40:00"/>
    <d v="1899-12-30T11:30:00"/>
    <d v="1899-12-30T00:50:00"/>
    <d v="1899-12-30T00:00:00"/>
    <d v="1899-12-30T00:00:00"/>
    <d v="1899-12-30T00:00:00"/>
    <m/>
    <m/>
    <m/>
    <m/>
    <m/>
    <m/>
    <m/>
    <d v="1899-12-30T00:50:00"/>
    <m/>
  </r>
  <r>
    <d v="2002-04-27T00:00:00"/>
    <x v="1"/>
    <s v="S"/>
    <x v="0"/>
    <s v="PA28"/>
    <x v="10"/>
    <x v="4"/>
    <s v="P1"/>
    <s v="EGTF"/>
    <x v="0"/>
    <d v="1899-12-30T12:30:00"/>
    <d v="1899-12-30T13:05:00"/>
    <d v="1899-12-30T00:35:00"/>
    <d v="1899-12-30T00:00:00"/>
    <d v="1899-12-30T00:00:00"/>
    <d v="1899-12-30T00:00:00"/>
    <m/>
    <m/>
    <m/>
    <m/>
    <m/>
    <m/>
    <m/>
    <d v="1899-12-30T00:35:00"/>
    <m/>
  </r>
  <r>
    <d v="2002-05-03T00:00:00"/>
    <x v="7"/>
    <s v="T"/>
    <x v="2"/>
    <s v="PA34"/>
    <x v="19"/>
    <x v="4"/>
    <s v="P1"/>
    <s v="EGKA"/>
    <x v="15"/>
    <d v="1899-12-30T12:02:00"/>
    <d v="1899-12-30T14:24:00"/>
    <d v="1899-12-30T00:00:00"/>
    <d v="1899-12-30T00:00:00"/>
    <d v="1899-12-30T02:22:00"/>
    <d v="1899-12-30T00:00:00"/>
    <m/>
    <m/>
    <m/>
    <m/>
    <m/>
    <m/>
    <m/>
    <d v="1899-12-30T02:22:00"/>
    <m/>
  </r>
  <r>
    <d v="2002-05-04T00:00:00"/>
    <x v="7"/>
    <s v="T"/>
    <x v="2"/>
    <s v="PA34"/>
    <x v="19"/>
    <x v="4"/>
    <s v="P1"/>
    <s v="EIWT"/>
    <x v="15"/>
    <d v="1899-12-30T08:35:00"/>
    <d v="1899-12-30T09:05:00"/>
    <d v="1899-12-30T00:00:00"/>
    <d v="1899-12-30T00:00:00"/>
    <d v="1899-12-30T00:30:00"/>
    <d v="1899-12-30T00:00:00"/>
    <m/>
    <m/>
    <m/>
    <m/>
    <m/>
    <m/>
    <m/>
    <d v="1899-12-30T00:30:00"/>
    <m/>
  </r>
  <r>
    <d v="2002-05-04T00:00:00"/>
    <x v="7"/>
    <s v="T"/>
    <x v="2"/>
    <s v="PA34"/>
    <x v="19"/>
    <x v="4"/>
    <s v="P1"/>
    <s v="EIWT"/>
    <x v="15"/>
    <d v="1899-12-30T09:15:00"/>
    <d v="1899-12-30T09:41:00"/>
    <d v="1899-12-30T00:00:00"/>
    <d v="1899-12-30T00:00:00"/>
    <d v="1899-12-30T00:26:00"/>
    <d v="1899-12-30T00:00:00"/>
    <m/>
    <m/>
    <m/>
    <m/>
    <m/>
    <m/>
    <m/>
    <d v="1899-12-30T00:26:00"/>
    <m/>
  </r>
  <r>
    <d v="2002-05-05T00:00:00"/>
    <x v="7"/>
    <s v="T"/>
    <x v="2"/>
    <s v="PA34"/>
    <x v="19"/>
    <x v="4"/>
    <s v="P1"/>
    <s v="EIWT"/>
    <x v="15"/>
    <d v="1899-12-30T11:23:00"/>
    <d v="1899-12-30T11:46:00"/>
    <d v="1899-12-30T00:00:00"/>
    <d v="1899-12-30T00:00:00"/>
    <d v="1899-12-30T00:23:00"/>
    <d v="1899-12-30T00:00:00"/>
    <m/>
    <m/>
    <m/>
    <m/>
    <m/>
    <m/>
    <m/>
    <d v="1899-12-30T00:23:00"/>
    <s v="Left door unlatched!!"/>
  </r>
  <r>
    <d v="2002-05-05T00:00:00"/>
    <x v="7"/>
    <s v="T"/>
    <x v="2"/>
    <s v="PA34"/>
    <x v="19"/>
    <x v="4"/>
    <s v="P1"/>
    <s v="EIWT"/>
    <x v="0"/>
    <d v="1899-12-30T11:46:00"/>
    <d v="1899-12-30T13:52:00"/>
    <d v="1899-12-30T00:00:00"/>
    <d v="1899-12-30T00:00:00"/>
    <d v="1899-12-30T02:06:00"/>
    <d v="1899-12-30T00:00:00"/>
    <m/>
    <m/>
    <m/>
    <m/>
    <m/>
    <m/>
    <m/>
    <d v="1899-12-30T02:06:00"/>
    <s v="Flight plan didn’t arrive!"/>
  </r>
  <r>
    <d v="2002-05-12T00:00:00"/>
    <x v="7"/>
    <s v="T"/>
    <x v="2"/>
    <s v="PA34"/>
    <x v="19"/>
    <x v="4"/>
    <s v="P1"/>
    <s v="EGKA"/>
    <x v="28"/>
    <d v="1899-12-30T12:45:00"/>
    <d v="1899-12-30T13:41:00"/>
    <d v="1899-12-30T00:00:00"/>
    <d v="1899-12-30T00:00:00"/>
    <d v="1899-12-30T00:56:00"/>
    <d v="1899-12-30T00:00:00"/>
    <m/>
    <m/>
    <m/>
    <m/>
    <m/>
    <m/>
    <m/>
    <d v="1899-12-30T00:56:00"/>
    <s v="With H, Jo &amp; Kevin"/>
  </r>
  <r>
    <d v="2002-05-18T00:00:00"/>
    <x v="7"/>
    <s v="T"/>
    <x v="2"/>
    <s v="PA34"/>
    <x v="19"/>
    <x v="4"/>
    <s v="P1"/>
    <s v="EGKA"/>
    <x v="29"/>
    <d v="1899-12-30T08:58:00"/>
    <d v="1899-12-30T09:54:00"/>
    <d v="1899-12-30T00:00:00"/>
    <d v="1899-12-30T00:00:00"/>
    <d v="1899-12-30T00:56:00"/>
    <d v="1899-12-30T00:00:00"/>
    <m/>
    <m/>
    <m/>
    <m/>
    <m/>
    <m/>
    <m/>
    <d v="1899-12-30T00:56:00"/>
    <m/>
  </r>
  <r>
    <d v="2002-05-18T00:00:00"/>
    <x v="7"/>
    <s v="T"/>
    <x v="2"/>
    <s v="PA34"/>
    <x v="19"/>
    <x v="4"/>
    <s v="P1"/>
    <s v="LFRG"/>
    <x v="0"/>
    <d v="1899-12-30T15:41:00"/>
    <d v="1899-12-30T16:33:00"/>
    <d v="1899-12-30T00:00:00"/>
    <d v="1899-12-30T00:00:00"/>
    <d v="1899-12-30T00:52:00"/>
    <d v="1899-12-30T00:00:00"/>
    <m/>
    <m/>
    <m/>
    <m/>
    <m/>
    <m/>
    <m/>
    <d v="1899-12-30T00:52:00"/>
    <m/>
  </r>
  <r>
    <d v="2002-06-01T00:00:00"/>
    <x v="1"/>
    <s v="S"/>
    <x v="0"/>
    <s v="PA28"/>
    <x v="10"/>
    <x v="4"/>
    <s v="P1"/>
    <s v="EGKA"/>
    <x v="0"/>
    <d v="1899-12-30T17:40:00"/>
    <d v="1899-12-30T19:10:00"/>
    <d v="1899-12-30T01:30:00"/>
    <d v="1899-12-30T00:00:00"/>
    <d v="1899-12-30T00:00:00"/>
    <d v="1899-12-30T00:00:00"/>
    <m/>
    <m/>
    <m/>
    <m/>
    <m/>
    <m/>
    <m/>
    <d v="1899-12-30T01:30:00"/>
    <m/>
  </r>
  <r>
    <d v="2002-06-03T00:00:00"/>
    <x v="7"/>
    <s v="T"/>
    <x v="2"/>
    <s v="PA34"/>
    <x v="19"/>
    <x v="4"/>
    <s v="P1"/>
    <s v="EGKA"/>
    <x v="2"/>
    <d v="1899-12-30T11:15:00"/>
    <d v="1899-12-30T12:05:00"/>
    <d v="1899-12-30T00:00:00"/>
    <d v="1899-12-30T00:00:00"/>
    <d v="1899-12-30T00:50:00"/>
    <d v="1899-12-30T00:00:00"/>
    <m/>
    <m/>
    <m/>
    <m/>
    <m/>
    <m/>
    <m/>
    <d v="1899-12-30T00:50:00"/>
    <m/>
  </r>
  <r>
    <d v="2002-06-03T00:00:00"/>
    <x v="7"/>
    <s v="T"/>
    <x v="2"/>
    <s v="PA34"/>
    <x v="19"/>
    <x v="4"/>
    <s v="P1"/>
    <s v="EGMD"/>
    <x v="0"/>
    <d v="1899-12-30T12:35:00"/>
    <d v="1899-12-30T13:15:00"/>
    <d v="1899-12-30T00:00:00"/>
    <d v="1899-12-30T00:00:00"/>
    <d v="1899-12-30T00:40:00"/>
    <d v="1899-12-30T00:00:00"/>
    <m/>
    <m/>
    <m/>
    <m/>
    <m/>
    <m/>
    <m/>
    <d v="1899-12-30T00:40:00"/>
    <m/>
  </r>
  <r>
    <d v="2002-06-08T00:00:00"/>
    <x v="1"/>
    <s v="S"/>
    <x v="0"/>
    <s v="PA28"/>
    <x v="23"/>
    <x v="4"/>
    <s v="P1"/>
    <s v="EGKA"/>
    <x v="0"/>
    <d v="1899-12-30T18:55:00"/>
    <d v="1899-12-30T19:30:00"/>
    <d v="1899-12-30T00:35:00"/>
    <d v="1899-12-30T00:00:00"/>
    <d v="1899-12-30T00:00:00"/>
    <d v="1899-12-30T00:00:00"/>
    <m/>
    <m/>
    <m/>
    <m/>
    <m/>
    <m/>
    <m/>
    <d v="1899-12-30T00:35:00"/>
    <m/>
  </r>
  <r>
    <d v="2002-06-15T00:00:00"/>
    <x v="1"/>
    <s v="S"/>
    <x v="0"/>
    <s v="PA28"/>
    <x v="23"/>
    <x v="10"/>
    <s v="PUT"/>
    <s v="EGKA"/>
    <x v="0"/>
    <d v="1899-12-30T14:40:00"/>
    <d v="1899-12-30T16:30:00"/>
    <d v="1899-12-30T00:00:00"/>
    <d v="1899-12-30T01:50:00"/>
    <d v="1899-12-30T00:00:00"/>
    <d v="1899-12-30T00:00:00"/>
    <m/>
    <m/>
    <m/>
    <m/>
    <n v="1.4"/>
    <m/>
    <m/>
    <d v="1899-12-30T01:50:00"/>
    <s v="IMC revision, 21 app * 3"/>
  </r>
  <r>
    <d v="2002-06-22T00:00:00"/>
    <x v="1"/>
    <s v="S"/>
    <x v="0"/>
    <s v="PA28"/>
    <x v="23"/>
    <x v="4"/>
    <s v="P1"/>
    <s v="EGKA"/>
    <x v="0"/>
    <d v="1899-12-30T13:20:00"/>
    <d v="1899-12-30T14:26:00"/>
    <d v="1899-12-30T01:06:00"/>
    <d v="1899-12-30T00:00:00"/>
    <d v="1899-12-30T00:00:00"/>
    <d v="1899-12-30T00:00:00"/>
    <m/>
    <m/>
    <m/>
    <m/>
    <n v="0.8"/>
    <m/>
    <m/>
    <d v="1899-12-30T01:06:00"/>
    <s v="IMC renewal, 03 to land"/>
  </r>
  <r>
    <d v="2002-06-29T00:00:00"/>
    <x v="1"/>
    <s v="S"/>
    <x v="0"/>
    <s v="PA28"/>
    <x v="23"/>
    <x v="4"/>
    <s v="P1"/>
    <s v="EGKA"/>
    <x v="9"/>
    <d v="1899-12-30T15:32:00"/>
    <d v="1899-12-30T16:55:00"/>
    <d v="1899-12-30T01:23:00"/>
    <d v="1899-12-30T00:00:00"/>
    <d v="1899-12-30T00:00:00"/>
    <d v="1899-12-30T00:00:00"/>
    <m/>
    <m/>
    <m/>
    <m/>
    <m/>
    <m/>
    <m/>
    <d v="1899-12-30T01:23:00"/>
    <m/>
  </r>
  <r>
    <d v="2002-06-30T00:00:00"/>
    <x v="1"/>
    <s v="S"/>
    <x v="0"/>
    <s v="PA28"/>
    <x v="23"/>
    <x v="4"/>
    <s v="P1"/>
    <s v="EGBW"/>
    <x v="0"/>
    <d v="1899-12-30T07:53:00"/>
    <d v="1899-12-30T09:14:00"/>
    <d v="1899-12-30T01:21:00"/>
    <d v="1899-12-30T00:00:00"/>
    <d v="1899-12-30T00:00:00"/>
    <d v="1899-12-30T00:00:00"/>
    <m/>
    <m/>
    <m/>
    <m/>
    <n v="0.1"/>
    <m/>
    <m/>
    <d v="1899-12-30T01:21:00"/>
    <s v="IMC Descent @ GWC"/>
  </r>
  <r>
    <d v="2002-07-14T00:00:00"/>
    <x v="1"/>
    <s v="S"/>
    <x v="0"/>
    <s v="PA28"/>
    <x v="23"/>
    <x v="4"/>
    <s v="P1"/>
    <s v="EGLM"/>
    <x v="0"/>
    <d v="1899-12-30T17:35:00"/>
    <d v="1899-12-30T18:25:00"/>
    <d v="1899-12-30T00:50:00"/>
    <d v="1899-12-30T00:00:00"/>
    <d v="1899-12-30T00:00:00"/>
    <d v="1899-12-30T00:00:00"/>
    <m/>
    <m/>
    <m/>
    <m/>
    <m/>
    <m/>
    <m/>
    <d v="1899-12-30T00:50:00"/>
    <s v="With H &amp; Warren"/>
  </r>
  <r>
    <d v="2002-07-21T00:00:00"/>
    <x v="1"/>
    <s v="S"/>
    <x v="0"/>
    <s v="PA28"/>
    <x v="22"/>
    <x v="4"/>
    <s v="P1"/>
    <s v="EGKA"/>
    <x v="7"/>
    <d v="1899-12-30T16:40:00"/>
    <d v="1899-12-30T17:42:00"/>
    <d v="1899-12-30T01:02:00"/>
    <d v="1899-12-30T00:00:00"/>
    <d v="1899-12-30T00:00:00"/>
    <d v="1899-12-30T00:00:00"/>
    <m/>
    <m/>
    <m/>
    <m/>
    <m/>
    <m/>
    <m/>
    <d v="1899-12-30T01:02:00"/>
    <s v="Pick up Dale after accident in CZ"/>
  </r>
  <r>
    <d v="2002-07-21T00:00:00"/>
    <x v="1"/>
    <s v="S"/>
    <x v="0"/>
    <s v="PA28"/>
    <x v="22"/>
    <x v="4"/>
    <s v="P1"/>
    <s v="EGHA"/>
    <x v="0"/>
    <d v="1899-12-30T17:55:00"/>
    <d v="1899-12-30T18:50:00"/>
    <d v="1899-12-30T00:55:00"/>
    <d v="1899-12-30T00:00:00"/>
    <d v="1899-12-30T00:00:00"/>
    <d v="1899-12-30T00:00:00"/>
    <m/>
    <m/>
    <m/>
    <m/>
    <m/>
    <m/>
    <m/>
    <d v="1899-12-30T00:55:00"/>
    <m/>
  </r>
  <r>
    <d v="2002-08-03T00:00:00"/>
    <x v="1"/>
    <s v="S"/>
    <x v="0"/>
    <s v="PA28"/>
    <x v="10"/>
    <x v="4"/>
    <s v="P1"/>
    <s v="EGKA"/>
    <x v="0"/>
    <d v="1899-12-30T16:40:00"/>
    <d v="1899-12-30T17:20:00"/>
    <d v="1899-12-30T00:40:00"/>
    <d v="1899-12-30T00:00:00"/>
    <d v="1899-12-30T00:00:00"/>
    <d v="1899-12-30T00:00:00"/>
    <m/>
    <m/>
    <m/>
    <m/>
    <m/>
    <m/>
    <m/>
    <d v="1899-12-30T00:40:00"/>
    <s v="Local with Gary"/>
  </r>
  <r>
    <d v="2002-08-25T00:00:00"/>
    <x v="1"/>
    <s v="S"/>
    <x v="0"/>
    <s v="PA28"/>
    <x v="23"/>
    <x v="4"/>
    <s v="P1"/>
    <s v="EGFF"/>
    <x v="0"/>
    <d v="1899-12-30T11:05:00"/>
    <d v="1899-12-30T12:40:00"/>
    <d v="1899-12-30T01:35:00"/>
    <d v="1899-12-30T00:00:00"/>
    <d v="1899-12-30T00:00:00"/>
    <d v="1899-12-30T00:00:00"/>
    <m/>
    <m/>
    <m/>
    <m/>
    <m/>
    <m/>
    <m/>
    <d v="1899-12-30T01:35:00"/>
    <m/>
  </r>
  <r>
    <d v="2002-08-26T00:00:00"/>
    <x v="1"/>
    <s v="S"/>
    <x v="0"/>
    <s v="PA28"/>
    <x v="23"/>
    <x v="4"/>
    <s v="P1"/>
    <s v="EGKA"/>
    <x v="30"/>
    <d v="1899-12-30T10:40:00"/>
    <d v="1899-12-30T12:00:00"/>
    <d v="1899-12-30T01:20:00"/>
    <d v="1899-12-30T00:00:00"/>
    <d v="1899-12-30T00:00:00"/>
    <d v="1899-12-30T00:00:00"/>
    <m/>
    <m/>
    <m/>
    <m/>
    <m/>
    <m/>
    <m/>
    <d v="1899-12-30T01:20:00"/>
    <m/>
  </r>
  <r>
    <d v="2002-08-26T00:00:00"/>
    <x v="1"/>
    <s v="S"/>
    <x v="0"/>
    <s v="PA28"/>
    <x v="23"/>
    <x v="4"/>
    <s v="P1"/>
    <s v="EGFF"/>
    <x v="0"/>
    <d v="1899-12-30T12:20:00"/>
    <d v="1899-12-30T13:55:00"/>
    <d v="1899-12-30T01:35:00"/>
    <d v="1899-12-30T00:00:00"/>
    <d v="1899-12-30T00:00:00"/>
    <d v="1899-12-30T00:00:00"/>
    <m/>
    <m/>
    <m/>
    <m/>
    <n v="0.9"/>
    <m/>
    <m/>
    <d v="1899-12-30T01:35:00"/>
    <s v="IFR Departure, Cancelled just before SAM"/>
  </r>
  <r>
    <d v="2002-08-29T00:00:00"/>
    <x v="1"/>
    <s v="S"/>
    <x v="0"/>
    <s v="PA28"/>
    <x v="22"/>
    <x v="4"/>
    <s v="P1"/>
    <s v="EGKA"/>
    <x v="0"/>
    <d v="1899-12-30T12:20:00"/>
    <d v="1899-12-30T13:25:00"/>
    <d v="1899-12-30T01:05:00"/>
    <d v="1899-12-30T00:00:00"/>
    <d v="1899-12-30T00:00:00"/>
    <d v="1899-12-30T00:00:00"/>
    <m/>
    <m/>
    <m/>
    <m/>
    <m/>
    <m/>
    <m/>
    <d v="1899-12-30T01:05:00"/>
    <s v="Abandoned to Sandown, 2+2"/>
  </r>
  <r>
    <d v="2002-09-08T00:00:00"/>
    <x v="1"/>
    <s v="S"/>
    <x v="0"/>
    <s v="PA28"/>
    <x v="22"/>
    <x v="4"/>
    <s v="P1"/>
    <s v="LFRK"/>
    <x v="0"/>
    <d v="1899-12-30T10:20:00"/>
    <d v="1899-12-30T11:30:00"/>
    <d v="1899-12-30T01:10:00"/>
    <d v="1899-12-30T00:00:00"/>
    <d v="1899-12-30T00:00:00"/>
    <d v="1899-12-30T00:00:00"/>
    <m/>
    <m/>
    <m/>
    <m/>
    <m/>
    <m/>
    <m/>
    <d v="1899-12-30T01:10:00"/>
    <m/>
  </r>
  <r>
    <d v="2002-09-08T00:00:00"/>
    <x v="7"/>
    <s v="T"/>
    <x v="2"/>
    <s v="PA34"/>
    <x v="19"/>
    <x v="10"/>
    <s v="PUT"/>
    <s v="EGKA"/>
    <x v="0"/>
    <d v="1899-12-30T14:30:00"/>
    <d v="1899-12-30T15:30:00"/>
    <d v="1899-12-30T00:00:00"/>
    <d v="1899-12-30T00:00:00"/>
    <d v="1899-12-30T00:00:00"/>
    <d v="1899-12-30T01:00:00"/>
    <m/>
    <m/>
    <m/>
    <m/>
    <m/>
    <m/>
    <m/>
    <d v="1899-12-30T01:00:00"/>
    <s v="Checkout "/>
  </r>
  <r>
    <d v="2002-09-14T00:00:00"/>
    <x v="7"/>
    <s v="T"/>
    <x v="2"/>
    <s v="PA34"/>
    <x v="19"/>
    <x v="4"/>
    <s v="P1"/>
    <s v="EGKA"/>
    <x v="0"/>
    <d v="1899-12-30T11:07:00"/>
    <d v="1899-12-30T11:33:00"/>
    <d v="1899-12-30T00:00:00"/>
    <d v="1899-12-30T00:00:00"/>
    <d v="1899-12-30T00:26:00"/>
    <d v="1899-12-30T00:00:00"/>
    <m/>
    <m/>
    <m/>
    <m/>
    <m/>
    <m/>
    <m/>
    <d v="1899-12-30T00:26:00"/>
    <s v="Abandoned flight to Plymouth"/>
  </r>
  <r>
    <d v="2002-09-14T00:00:00"/>
    <x v="7"/>
    <s v="T"/>
    <x v="2"/>
    <s v="PA34"/>
    <x v="19"/>
    <x v="4"/>
    <s v="P1"/>
    <s v="EGKA"/>
    <x v="14"/>
    <d v="1899-12-30T14:12:00"/>
    <d v="1899-12-30T15:00:00"/>
    <d v="1899-12-30T00:00:00"/>
    <d v="1899-12-30T00:00:00"/>
    <d v="1899-12-30T00:48:00"/>
    <d v="1899-12-30T00:00:00"/>
    <m/>
    <m/>
    <m/>
    <m/>
    <m/>
    <m/>
    <m/>
    <d v="1899-12-30T00:48:00"/>
    <m/>
  </r>
  <r>
    <d v="2002-09-14T00:00:00"/>
    <x v="7"/>
    <s v="T"/>
    <x v="2"/>
    <s v="PA34"/>
    <x v="19"/>
    <x v="4"/>
    <s v="P1"/>
    <s v="LFAT"/>
    <x v="0"/>
    <d v="1899-12-30T18:14:00"/>
    <d v="1899-12-30T19:02:00"/>
    <d v="1899-12-30T00:00:00"/>
    <d v="1899-12-30T00:00:00"/>
    <d v="1899-12-30T00:48:00"/>
    <d v="1899-12-30T00:00:00"/>
    <m/>
    <m/>
    <m/>
    <m/>
    <m/>
    <m/>
    <m/>
    <d v="1899-12-30T00:48:00"/>
    <m/>
  </r>
  <r>
    <d v="2002-09-21T00:00:00"/>
    <x v="1"/>
    <s v="S"/>
    <x v="0"/>
    <s v="PA28"/>
    <x v="26"/>
    <x v="4"/>
    <s v="P1"/>
    <s v="EGKA"/>
    <x v="14"/>
    <d v="1899-12-30T13:40:00"/>
    <d v="1899-12-30T14:45:00"/>
    <d v="1899-12-30T01:05:00"/>
    <d v="1899-12-30T00:00:00"/>
    <d v="1899-12-30T00:00:00"/>
    <d v="1899-12-30T00:00:00"/>
    <m/>
    <m/>
    <m/>
    <m/>
    <m/>
    <m/>
    <m/>
    <d v="1899-12-30T01:05:00"/>
    <s v="With H, Kev &amp; Sue"/>
  </r>
  <r>
    <d v="2002-09-28T00:00:00"/>
    <x v="1"/>
    <s v="S"/>
    <x v="0"/>
    <s v="PA28"/>
    <x v="23"/>
    <x v="4"/>
    <s v="P1"/>
    <s v="EGKA"/>
    <x v="0"/>
    <d v="1899-12-30T09:30:00"/>
    <d v="1899-12-30T10:10:00"/>
    <d v="1899-12-30T00:40:00"/>
    <d v="1899-12-30T00:00:00"/>
    <d v="1899-12-30T00:00:00"/>
    <d v="1899-12-30T00:00:00"/>
    <m/>
    <m/>
    <m/>
    <m/>
    <n v="0.4"/>
    <m/>
    <m/>
    <d v="1899-12-30T00:40:00"/>
    <s v="SFD Proc Turn - with H"/>
  </r>
  <r>
    <d v="2002-09-29T00:00:00"/>
    <x v="1"/>
    <s v="S"/>
    <x v="0"/>
    <s v="PA28"/>
    <x v="27"/>
    <x v="4"/>
    <s v="P1"/>
    <s v="EGTP"/>
    <x v="0"/>
    <d v="1899-12-30T14:05:00"/>
    <d v="1899-12-30T16:20:00"/>
    <d v="1899-12-30T02:15:00"/>
    <d v="1899-12-30T00:00:00"/>
    <d v="1899-12-30T00:00:00"/>
    <d v="1899-12-30T00:00:00"/>
    <m/>
    <m/>
    <m/>
    <m/>
    <m/>
    <m/>
    <m/>
    <d v="1899-12-30T02:15:00"/>
    <m/>
  </r>
  <r>
    <d v="2002-10-05T00:00:00"/>
    <x v="1"/>
    <s v="S"/>
    <x v="0"/>
    <s v="PA28"/>
    <x v="28"/>
    <x v="12"/>
    <s v="PUT"/>
    <s v="EGHI"/>
    <x v="31"/>
    <d v="1899-12-30T11:20:00"/>
    <d v="1899-12-30T12:40:00"/>
    <d v="1899-12-30T00:00:00"/>
    <d v="1899-12-30T01:20:00"/>
    <d v="1899-12-30T00:00:00"/>
    <d v="1899-12-30T00:00:00"/>
    <m/>
    <m/>
    <m/>
    <m/>
    <m/>
    <m/>
    <m/>
    <d v="1899-12-30T01:20:00"/>
    <s v="CPL 1"/>
  </r>
  <r>
    <d v="2002-10-06T00:00:00"/>
    <x v="1"/>
    <s v="S"/>
    <x v="0"/>
    <s v="PA28"/>
    <x v="28"/>
    <x v="12"/>
    <s v="PUT"/>
    <s v="EGHI"/>
    <x v="31"/>
    <d v="1899-12-30T10:00:00"/>
    <d v="1899-12-30T11:40:00"/>
    <d v="1899-12-30T00:00:00"/>
    <d v="1899-12-30T01:40:00"/>
    <d v="1899-12-30T00:00:00"/>
    <d v="1899-12-30T00:00:00"/>
    <m/>
    <m/>
    <m/>
    <m/>
    <m/>
    <m/>
    <m/>
    <d v="1899-12-30T01:40:00"/>
    <s v="CPL 2/3"/>
  </r>
  <r>
    <d v="2002-10-12T00:00:00"/>
    <x v="1"/>
    <s v="S"/>
    <x v="0"/>
    <s v="PA28"/>
    <x v="28"/>
    <x v="13"/>
    <s v="PUT"/>
    <s v="EGHI"/>
    <x v="31"/>
    <d v="1899-12-30T14:00:00"/>
    <d v="1899-12-30T15:40:00"/>
    <d v="1899-12-30T00:00:00"/>
    <d v="1899-12-30T01:40:00"/>
    <d v="1899-12-30T00:00:00"/>
    <d v="1899-12-30T00:00:00"/>
    <m/>
    <m/>
    <m/>
    <m/>
    <m/>
    <m/>
    <m/>
    <d v="1899-12-30T01:40:00"/>
    <s v="CPL 4"/>
  </r>
  <r>
    <d v="2002-10-19T00:00:00"/>
    <x v="1"/>
    <s v="S"/>
    <x v="0"/>
    <s v="PA28"/>
    <x v="28"/>
    <x v="12"/>
    <s v="PUT"/>
    <s v="EGHI"/>
    <x v="31"/>
    <d v="1899-12-30T14:00:00"/>
    <d v="1899-12-30T15:55:00"/>
    <d v="1899-12-30T00:00:00"/>
    <d v="1899-12-30T01:55:00"/>
    <d v="1899-12-30T00:00:00"/>
    <d v="1899-12-30T00:00:00"/>
    <m/>
    <m/>
    <m/>
    <m/>
    <m/>
    <m/>
    <m/>
    <d v="1899-12-30T01:55:00"/>
    <s v="CPL 5"/>
  </r>
  <r>
    <d v="2002-10-26T00:00:00"/>
    <x v="1"/>
    <s v="S"/>
    <x v="0"/>
    <s v="PA28"/>
    <x v="22"/>
    <x v="4"/>
    <s v="P1"/>
    <s v="EGKA"/>
    <x v="0"/>
    <d v="1899-12-30T12:45:00"/>
    <d v="1899-12-30T13:56:00"/>
    <d v="1899-12-30T01:11:00"/>
    <d v="1899-12-30T00:00:00"/>
    <d v="1899-12-30T00:00:00"/>
    <d v="1899-12-30T00:00:00"/>
    <m/>
    <m/>
    <m/>
    <m/>
    <m/>
    <m/>
    <m/>
    <d v="1899-12-30T01:11:00"/>
    <s v="Steep Turns"/>
  </r>
  <r>
    <d v="2002-11-03T00:00:00"/>
    <x v="1"/>
    <s v="S"/>
    <x v="0"/>
    <s v="PA28"/>
    <x v="23"/>
    <x v="4"/>
    <s v="P1"/>
    <s v="EGKA"/>
    <x v="0"/>
    <d v="1899-12-30T14:35:00"/>
    <d v="1899-12-30T15:10:00"/>
    <d v="1899-12-30T00:35:00"/>
    <d v="1899-12-30T00:00:00"/>
    <d v="1899-12-30T00:00:00"/>
    <d v="1899-12-30T00:00:00"/>
    <m/>
    <m/>
    <m/>
    <m/>
    <m/>
    <m/>
    <m/>
    <d v="1899-12-30T00:35:00"/>
    <m/>
  </r>
  <r>
    <d v="2002-11-09T00:00:00"/>
    <x v="9"/>
    <s v="SIM"/>
    <x v="3"/>
    <s v="FR-142"/>
    <x v="29"/>
    <x v="13"/>
    <s v="PUT"/>
    <s v="SIM"/>
    <x v="32"/>
    <m/>
    <m/>
    <d v="1899-12-30T00:00:00"/>
    <d v="1899-12-30T00:00:00"/>
    <d v="1899-12-30T00:00:00"/>
    <d v="1899-12-30T00:00:00"/>
    <m/>
    <m/>
    <m/>
    <m/>
    <m/>
    <m/>
    <n v="1.1000000000000001"/>
    <d v="1899-12-30T00:00:00"/>
    <s v="IR Ex 1"/>
  </r>
  <r>
    <d v="2002-11-09T00:00:00"/>
    <x v="9"/>
    <s v="SIM"/>
    <x v="3"/>
    <s v="FR-142"/>
    <x v="29"/>
    <x v="13"/>
    <s v="PUT"/>
    <s v="SIM"/>
    <x v="32"/>
    <m/>
    <m/>
    <d v="1899-12-30T00:00:00"/>
    <d v="1899-12-30T00:00:00"/>
    <d v="1899-12-30T00:00:00"/>
    <d v="1899-12-30T00:00:00"/>
    <m/>
    <m/>
    <m/>
    <m/>
    <m/>
    <m/>
    <n v="1.2"/>
    <d v="1899-12-30T00:00:00"/>
    <s v="IR Ex 2"/>
  </r>
  <r>
    <d v="2002-11-10T00:00:00"/>
    <x v="9"/>
    <s v="SIM"/>
    <x v="3"/>
    <s v="FR-142"/>
    <x v="29"/>
    <x v="13"/>
    <s v="PUT"/>
    <s v="SIM"/>
    <x v="32"/>
    <m/>
    <m/>
    <d v="1899-12-30T00:00:00"/>
    <d v="1899-12-30T00:00:00"/>
    <d v="1899-12-30T00:00:00"/>
    <d v="1899-12-30T00:00:00"/>
    <m/>
    <m/>
    <m/>
    <m/>
    <m/>
    <m/>
    <n v="1.4"/>
    <d v="1899-12-30T00:00:00"/>
    <s v="IR Ex 3"/>
  </r>
  <r>
    <d v="2002-11-16T00:00:00"/>
    <x v="9"/>
    <s v="SIM"/>
    <x v="3"/>
    <s v="FR-142"/>
    <x v="29"/>
    <x v="13"/>
    <s v="PUT"/>
    <s v="SIM"/>
    <x v="32"/>
    <m/>
    <m/>
    <d v="1899-12-30T00:00:00"/>
    <d v="1899-12-30T00:00:00"/>
    <d v="1899-12-30T00:00:00"/>
    <d v="1899-12-30T00:00:00"/>
    <m/>
    <m/>
    <m/>
    <m/>
    <m/>
    <m/>
    <n v="1"/>
    <d v="1899-12-30T00:00:00"/>
    <s v="IR Ex 4"/>
  </r>
  <r>
    <d v="2002-11-16T00:00:00"/>
    <x v="9"/>
    <s v="SIM"/>
    <x v="3"/>
    <s v="FR-142"/>
    <x v="29"/>
    <x v="13"/>
    <s v="PUT"/>
    <s v="SIM"/>
    <x v="32"/>
    <m/>
    <m/>
    <d v="1899-12-30T00:00:00"/>
    <d v="1899-12-30T00:00:00"/>
    <d v="1899-12-30T00:00:00"/>
    <d v="1899-12-30T00:00:00"/>
    <m/>
    <m/>
    <m/>
    <m/>
    <m/>
    <m/>
    <n v="1.6"/>
    <d v="1899-12-30T00:00:00"/>
    <s v="IR Ex 5"/>
  </r>
  <r>
    <d v="2002-11-17T00:00:00"/>
    <x v="9"/>
    <s v="SIM"/>
    <x v="3"/>
    <s v="FR-142"/>
    <x v="29"/>
    <x v="13"/>
    <s v="PUT"/>
    <s v="SIM"/>
    <x v="32"/>
    <m/>
    <m/>
    <d v="1899-12-30T00:00:00"/>
    <d v="1899-12-30T00:00:00"/>
    <d v="1899-12-30T00:00:00"/>
    <d v="1899-12-30T00:00:00"/>
    <m/>
    <m/>
    <m/>
    <m/>
    <m/>
    <m/>
    <n v="1.3"/>
    <d v="1899-12-30T00:00:00"/>
    <s v="IR Ex 6"/>
  </r>
  <r>
    <d v="2002-11-23T00:00:00"/>
    <x v="9"/>
    <s v="SIM"/>
    <x v="3"/>
    <s v="FR-142"/>
    <x v="29"/>
    <x v="13"/>
    <s v="PUT"/>
    <s v="SIM"/>
    <x v="32"/>
    <m/>
    <m/>
    <d v="1899-12-30T00:00:00"/>
    <d v="1899-12-30T00:00:00"/>
    <d v="1899-12-30T00:00:00"/>
    <d v="1899-12-30T00:00:00"/>
    <m/>
    <m/>
    <m/>
    <m/>
    <m/>
    <m/>
    <n v="1"/>
    <d v="1899-12-30T00:00:00"/>
    <s v="IR Ex 6 - Asym"/>
  </r>
  <r>
    <d v="2002-11-23T00:00:00"/>
    <x v="9"/>
    <s v="SIM"/>
    <x v="3"/>
    <s v="FR-142"/>
    <x v="29"/>
    <x v="13"/>
    <s v="PUT"/>
    <s v="SIM"/>
    <x v="32"/>
    <m/>
    <m/>
    <d v="1899-12-30T00:00:00"/>
    <d v="1899-12-30T00:00:00"/>
    <d v="1899-12-30T00:00:00"/>
    <d v="1899-12-30T00:00:00"/>
    <m/>
    <m/>
    <m/>
    <m/>
    <m/>
    <m/>
    <n v="1"/>
    <d v="1899-12-30T00:00:00"/>
    <s v="IR Ex 7 DME Arc"/>
  </r>
  <r>
    <d v="2002-11-24T00:00:00"/>
    <x v="1"/>
    <s v="S"/>
    <x v="0"/>
    <s v="PA28"/>
    <x v="10"/>
    <x v="4"/>
    <s v="P1"/>
    <s v="EGKA"/>
    <x v="0"/>
    <d v="1899-12-30T12:00:00"/>
    <d v="1899-12-30T13:00:00"/>
    <d v="1899-12-30T01:00:00"/>
    <d v="1899-12-30T00:00:00"/>
    <d v="1899-12-30T00:00:00"/>
    <d v="1899-12-30T00:00:00"/>
    <m/>
    <m/>
    <m/>
    <m/>
    <m/>
    <m/>
    <m/>
    <d v="1899-12-30T01:00:00"/>
    <s v="Steep Turns"/>
  </r>
  <r>
    <d v="2002-11-30T00:00:00"/>
    <x v="9"/>
    <s v="SIM"/>
    <x v="3"/>
    <s v="FR-142"/>
    <x v="29"/>
    <x v="14"/>
    <s v="PUT"/>
    <s v="EGHI"/>
    <x v="28"/>
    <m/>
    <m/>
    <d v="1899-12-30T00:00:00"/>
    <d v="1899-12-30T00:00:00"/>
    <d v="1899-12-30T00:00:00"/>
    <d v="1899-12-30T00:00:00"/>
    <m/>
    <m/>
    <m/>
    <m/>
    <m/>
    <m/>
    <n v="1.3"/>
    <d v="1899-12-30T00:00:00"/>
    <s v="IR Ex 8"/>
  </r>
  <r>
    <d v="2002-11-30T00:00:00"/>
    <x v="9"/>
    <s v="SIM"/>
    <x v="3"/>
    <s v="FR-142"/>
    <x v="29"/>
    <x v="14"/>
    <s v="PUT"/>
    <s v="SIM"/>
    <x v="32"/>
    <m/>
    <m/>
    <d v="1899-12-30T00:00:00"/>
    <d v="1899-12-30T00:00:00"/>
    <d v="1899-12-30T00:00:00"/>
    <d v="1899-12-30T00:00:00"/>
    <m/>
    <m/>
    <m/>
    <m/>
    <m/>
    <m/>
    <n v="1.8"/>
    <d v="1899-12-30T00:00:00"/>
    <s v="IR Ex 9 - Soton -&gt; Ald"/>
  </r>
  <r>
    <d v="2002-12-01T00:00:00"/>
    <x v="9"/>
    <s v="SIM"/>
    <x v="3"/>
    <s v="FR-142"/>
    <x v="29"/>
    <x v="14"/>
    <s v="PUT"/>
    <s v="SIM"/>
    <x v="32"/>
    <m/>
    <m/>
    <d v="1899-12-30T00:00:00"/>
    <d v="1899-12-30T00:00:00"/>
    <d v="1899-12-30T00:00:00"/>
    <d v="1899-12-30T00:00:00"/>
    <m/>
    <m/>
    <m/>
    <m/>
    <m/>
    <m/>
    <n v="1.7"/>
    <d v="1899-12-30T00:00:00"/>
    <m/>
  </r>
  <r>
    <d v="2002-12-07T00:00:00"/>
    <x v="9"/>
    <s v="SIM"/>
    <x v="3"/>
    <s v="FR-142"/>
    <x v="29"/>
    <x v="14"/>
    <s v="PUT"/>
    <s v="SIM"/>
    <x v="32"/>
    <m/>
    <m/>
    <d v="1899-12-30T00:00:00"/>
    <d v="1899-12-30T00:00:00"/>
    <d v="1899-12-30T00:00:00"/>
    <d v="1899-12-30T00:00:00"/>
    <m/>
    <m/>
    <m/>
    <m/>
    <m/>
    <m/>
    <n v="2"/>
    <d v="1899-12-30T00:00:00"/>
    <m/>
  </r>
  <r>
    <d v="2002-12-07T00:00:00"/>
    <x v="9"/>
    <s v="SIM"/>
    <x v="3"/>
    <s v="FR-142"/>
    <x v="29"/>
    <x v="14"/>
    <s v="PUT"/>
    <s v="SIM"/>
    <x v="32"/>
    <m/>
    <m/>
    <d v="1899-12-30T00:00:00"/>
    <d v="1899-12-30T00:00:00"/>
    <d v="1899-12-30T00:00:00"/>
    <d v="1899-12-30T00:00:00"/>
    <m/>
    <m/>
    <m/>
    <m/>
    <m/>
    <m/>
    <n v="2"/>
    <d v="1899-12-30T00:00:00"/>
    <m/>
  </r>
  <r>
    <d v="2002-12-08T00:00:00"/>
    <x v="9"/>
    <s v="SIM"/>
    <x v="3"/>
    <s v="FR-142"/>
    <x v="29"/>
    <x v="14"/>
    <s v="PUT"/>
    <s v="SIM"/>
    <x v="32"/>
    <m/>
    <m/>
    <d v="1899-12-30T00:00:00"/>
    <d v="1899-12-30T00:00:00"/>
    <d v="1899-12-30T00:00:00"/>
    <d v="1899-12-30T00:00:00"/>
    <m/>
    <m/>
    <m/>
    <m/>
    <m/>
    <m/>
    <n v="1.4"/>
    <d v="1899-12-30T00:00:00"/>
    <m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2003-01-05T00:00:00"/>
    <x v="7"/>
    <s v="T"/>
    <x v="2"/>
    <s v="PA34"/>
    <x v="30"/>
    <x v="14"/>
    <s v="PUT"/>
    <s v="EGHI"/>
    <x v="31"/>
    <d v="1899-12-30T10:53:00"/>
    <d v="1899-12-30T12:21:00"/>
    <d v="1899-12-30T00:00:00"/>
    <d v="1899-12-30T00:00:00"/>
    <d v="1899-12-30T00:00:00"/>
    <d v="1899-12-30T01:28:00"/>
    <m/>
    <m/>
    <m/>
    <m/>
    <n v="1.5"/>
    <m/>
    <m/>
    <d v="1899-12-30T01:28:00"/>
    <s v="General handling, NDB/DME 02 + LLC"/>
  </r>
  <r>
    <d v="2003-01-11T00:00:00"/>
    <x v="7"/>
    <s v="T"/>
    <x v="2"/>
    <s v="PA34"/>
    <x v="30"/>
    <x v="14"/>
    <s v="PUT"/>
    <s v="EGHI"/>
    <x v="31"/>
    <d v="1899-12-30T10:55:00"/>
    <d v="1899-12-30T12:22:00"/>
    <d v="1899-12-30T00:00:00"/>
    <d v="1899-12-30T00:00:00"/>
    <d v="1899-12-30T00:00:00"/>
    <d v="1899-12-30T01:27:00"/>
    <m/>
    <m/>
    <m/>
    <m/>
    <n v="1.5"/>
    <m/>
    <m/>
    <d v="1899-12-30T01:27:00"/>
    <s v="ME/SE02 - Limited Panel"/>
  </r>
  <r>
    <d v="2003-01-11T00:00:00"/>
    <x v="7"/>
    <s v="T"/>
    <x v="2"/>
    <s v="PA34"/>
    <x v="30"/>
    <x v="14"/>
    <s v="PUT"/>
    <s v="EGHI"/>
    <x v="31"/>
    <d v="1899-12-30T13:48:00"/>
    <d v="1899-12-30T14:59:00"/>
    <d v="1899-12-30T00:00:00"/>
    <d v="1899-12-30T00:00:00"/>
    <d v="1899-12-30T00:00:00"/>
    <d v="1899-12-30T01:11:00"/>
    <m/>
    <m/>
    <m/>
    <m/>
    <n v="1.2"/>
    <m/>
    <m/>
    <d v="1899-12-30T01:11:00"/>
    <s v="ME/SE02 - Stall"/>
  </r>
  <r>
    <d v="2003-01-12T00:00:00"/>
    <x v="7"/>
    <s v="T"/>
    <x v="2"/>
    <s v="PA34"/>
    <x v="30"/>
    <x v="14"/>
    <s v="PUT"/>
    <s v="EGHI"/>
    <x v="31"/>
    <d v="1899-12-30T10:45:00"/>
    <d v="1899-12-30T12:12:00"/>
    <d v="1899-12-30T00:00:00"/>
    <d v="1899-12-30T00:00:00"/>
    <d v="1899-12-30T00:00:00"/>
    <d v="1899-12-30T01:27:00"/>
    <m/>
    <m/>
    <m/>
    <m/>
    <n v="1.5"/>
    <m/>
    <m/>
    <d v="1899-12-30T01:27:00"/>
    <s v="ME/SE03 - Holds + ILS"/>
  </r>
  <r>
    <d v="2003-01-12T00:00:00"/>
    <x v="7"/>
    <s v="T"/>
    <x v="2"/>
    <s v="PA34"/>
    <x v="30"/>
    <x v="14"/>
    <s v="PUT"/>
    <s v="EGHI"/>
    <x v="31"/>
    <d v="1899-12-30T13:05:00"/>
    <d v="1899-12-30T14:15:00"/>
    <d v="1899-12-30T00:00:00"/>
    <d v="1899-12-30T00:00:00"/>
    <d v="1899-12-30T00:00:00"/>
    <d v="1899-12-30T01:10:00"/>
    <m/>
    <m/>
    <m/>
    <m/>
    <n v="1.2"/>
    <m/>
    <m/>
    <d v="1899-12-30T01:10:00"/>
    <s v="ME/SE 3/4 Holds + ILS"/>
  </r>
  <r>
    <d v="2003-01-12T00:00:00"/>
    <x v="1"/>
    <s v="S"/>
    <x v="0"/>
    <s v="PA28"/>
    <x v="23"/>
    <x v="11"/>
    <s v="PUT"/>
    <s v="EGKA"/>
    <x v="0"/>
    <d v="1899-12-30T16:40:00"/>
    <d v="1899-12-30T17:20:00"/>
    <d v="1899-12-30T00:00:00"/>
    <d v="1899-12-30T00:40:00"/>
    <d v="1899-12-30T00:00:00"/>
    <d v="1899-12-30T00:00:00"/>
    <m/>
    <m/>
    <m/>
    <m/>
    <m/>
    <m/>
    <m/>
    <d v="1899-12-30T00:40:00"/>
    <s v="Local + Signed"/>
  </r>
  <r>
    <d v="2003-01-18T00:00:00"/>
    <x v="7"/>
    <s v="T"/>
    <x v="2"/>
    <s v="PA34"/>
    <x v="19"/>
    <x v="4"/>
    <s v="P1"/>
    <s v="EGKA"/>
    <x v="0"/>
    <d v="1899-12-30T11:10:00"/>
    <d v="1899-12-30T12:10:00"/>
    <d v="1899-12-30T00:00:00"/>
    <d v="1899-12-30T00:00:00"/>
    <d v="1899-12-30T01:00:00"/>
    <d v="1899-12-30T00:00:00"/>
    <m/>
    <m/>
    <m/>
    <m/>
    <m/>
    <m/>
    <m/>
    <d v="1899-12-30T01:00:00"/>
    <s v="MEP Renewal"/>
  </r>
  <r>
    <d v="2003-01-18T00:00:00"/>
    <x v="7"/>
    <s v="T"/>
    <x v="2"/>
    <s v="PA34"/>
    <x v="19"/>
    <x v="4"/>
    <s v="P1"/>
    <s v="EGKA"/>
    <x v="9"/>
    <d v="1899-12-30T14:10:00"/>
    <d v="1899-12-30T15:00:00"/>
    <d v="1899-12-30T00:00:00"/>
    <d v="1899-12-30T00:00:00"/>
    <d v="1899-12-30T00:50:00"/>
    <d v="1899-12-30T00:00:00"/>
    <m/>
    <m/>
    <m/>
    <m/>
    <m/>
    <m/>
    <m/>
    <d v="1899-12-30T00:50:00"/>
    <s v="With H"/>
  </r>
  <r>
    <d v="2003-01-18T00:00:00"/>
    <x v="7"/>
    <s v="T"/>
    <x v="2"/>
    <s v="PA34"/>
    <x v="19"/>
    <x v="4"/>
    <s v="P1"/>
    <s v="EGBW"/>
    <x v="0"/>
    <d v="1899-12-30T15:55:00"/>
    <d v="1899-12-30T17:00:00"/>
    <d v="1899-12-30T00:00:00"/>
    <d v="1899-12-30T00:00:00"/>
    <d v="1899-12-30T01:05:00"/>
    <d v="1899-12-30T00:00:00"/>
    <m/>
    <m/>
    <m/>
    <m/>
    <m/>
    <m/>
    <m/>
    <d v="1899-12-30T01:05:00"/>
    <m/>
  </r>
  <r>
    <d v="2003-01-19T00:00:00"/>
    <x v="7"/>
    <s v="T"/>
    <x v="2"/>
    <s v="PA34"/>
    <x v="30"/>
    <x v="14"/>
    <s v="PUT"/>
    <s v="EGHI"/>
    <x v="31"/>
    <d v="1899-12-30T10:03:00"/>
    <d v="1899-12-30T11:48:00"/>
    <d v="1899-12-30T00:00:00"/>
    <d v="1899-12-30T00:00:00"/>
    <d v="1899-12-30T00:00:00"/>
    <d v="1899-12-30T01:45:00"/>
    <m/>
    <m/>
    <m/>
    <m/>
    <n v="1.7"/>
    <m/>
    <m/>
    <d v="1899-12-30T01:45:00"/>
    <m/>
  </r>
  <r>
    <d v="2003-01-19T00:00:00"/>
    <x v="7"/>
    <s v="T"/>
    <x v="2"/>
    <s v="PA34"/>
    <x v="30"/>
    <x v="14"/>
    <s v="PUT"/>
    <s v="EGHI"/>
    <x v="33"/>
    <d v="1899-12-30T13:30:00"/>
    <d v="1899-12-30T14:55:00"/>
    <d v="1899-12-30T00:00:00"/>
    <d v="1899-12-30T00:00:00"/>
    <d v="1899-12-30T00:00:00"/>
    <d v="1899-12-30T01:25:00"/>
    <m/>
    <m/>
    <m/>
    <m/>
    <n v="1.4"/>
    <m/>
    <m/>
    <d v="1899-12-30T01:25:00"/>
    <s v="ADSON, YUL, BIA, SAM RAD Vec ILS + NDB"/>
  </r>
  <r>
    <d v="2003-01-25T00:00:00"/>
    <x v="7"/>
    <s v="T"/>
    <x v="2"/>
    <s v="PA34"/>
    <x v="30"/>
    <x v="14"/>
    <s v="PUT"/>
    <s v="EGHI"/>
    <x v="31"/>
    <d v="1899-12-30T10:34:00"/>
    <d v="1899-12-30T12:36:00"/>
    <d v="1899-12-30T00:00:00"/>
    <d v="1899-12-30T00:00:00"/>
    <d v="1899-12-30T00:00:00"/>
    <d v="1899-12-30T02:02:00"/>
    <m/>
    <m/>
    <m/>
    <m/>
    <n v="2"/>
    <m/>
    <m/>
    <d v="1899-12-30T02:02:00"/>
    <s v="A25 Bristol NDB, Adson, Sam, Rad ILS"/>
  </r>
  <r>
    <d v="2003-01-25T00:00:00"/>
    <x v="7"/>
    <s v="T"/>
    <x v="2"/>
    <s v="PA34"/>
    <x v="30"/>
    <x v="14"/>
    <s v="PUT"/>
    <s v="EGHI"/>
    <x v="31"/>
    <d v="1899-12-30T15:15:00"/>
    <d v="1899-12-30T16:49:00"/>
    <d v="1899-12-30T00:00:00"/>
    <d v="1899-12-30T00:00:00"/>
    <d v="1899-12-30T00:00:00"/>
    <d v="1899-12-30T01:34:00"/>
    <m/>
    <m/>
    <m/>
    <m/>
    <n v="1.6"/>
    <m/>
    <m/>
    <d v="1899-12-30T01:34:00"/>
    <s v="Asym drills, Rad vec ILS"/>
  </r>
  <r>
    <d v="2003-01-26T00:00:00"/>
    <x v="7"/>
    <s v="T"/>
    <x v="2"/>
    <s v="PA34"/>
    <x v="30"/>
    <x v="14"/>
    <s v="PUT"/>
    <s v="EGHI"/>
    <x v="31"/>
    <d v="1899-12-30T10:21:00"/>
    <d v="1899-12-30T12:10:00"/>
    <d v="1899-12-30T00:00:00"/>
    <d v="1899-12-30T00:00:00"/>
    <d v="1899-12-30T00:00:00"/>
    <d v="1899-12-30T01:49:00"/>
    <m/>
    <m/>
    <m/>
    <m/>
    <n v="1.8"/>
    <m/>
    <m/>
    <d v="1899-12-30T01:49:00"/>
    <s v="Cardiff"/>
  </r>
  <r>
    <d v="2003-01-26T00:00:00"/>
    <x v="7"/>
    <s v="T"/>
    <x v="2"/>
    <s v="PA34"/>
    <x v="30"/>
    <x v="14"/>
    <s v="PUT"/>
    <s v="EGHI"/>
    <x v="31"/>
    <d v="1899-12-30T14:41:00"/>
    <d v="1899-12-30T16:40:00"/>
    <d v="1899-12-30T00:00:00"/>
    <d v="1899-12-30T00:00:00"/>
    <d v="1899-12-30T00:00:00"/>
    <d v="1899-12-30T01:59:00"/>
    <m/>
    <m/>
    <m/>
    <m/>
    <n v="2"/>
    <m/>
    <m/>
    <d v="1899-12-30T01:59:00"/>
    <s v="Exeter"/>
  </r>
  <r>
    <d v="2003-02-02T00:00:00"/>
    <x v="1"/>
    <s v="S"/>
    <x v="0"/>
    <s v="PA28"/>
    <x v="22"/>
    <x v="4"/>
    <s v="P1"/>
    <s v="EGKA"/>
    <x v="0"/>
    <d v="1899-12-30T11:50:00"/>
    <d v="1899-12-30T12:45:00"/>
    <d v="1899-12-30T00:55:00"/>
    <d v="1899-12-30T00:00:00"/>
    <d v="1899-12-30T00:00:00"/>
    <d v="1899-12-30T00:00:00"/>
    <m/>
    <m/>
    <m/>
    <m/>
    <m/>
    <m/>
    <m/>
    <d v="1899-12-30T00:55:00"/>
    <s v="Local with H"/>
  </r>
  <r>
    <d v="2003-02-03T00:00:00"/>
    <x v="7"/>
    <s v="T"/>
    <x v="2"/>
    <s v="PA34"/>
    <x v="30"/>
    <x v="14"/>
    <s v="PUT"/>
    <s v="EGHI"/>
    <x v="31"/>
    <d v="1899-12-30T10:36:00"/>
    <d v="1899-12-30T11:54:00"/>
    <d v="1899-12-30T00:00:00"/>
    <d v="1899-12-30T00:00:00"/>
    <d v="1899-12-30T00:00:00"/>
    <d v="1899-12-30T01:18:00"/>
    <m/>
    <m/>
    <m/>
    <m/>
    <n v="1.2"/>
    <m/>
    <m/>
    <d v="1899-12-30T01:18:00"/>
    <s v="ILS Bournemounth, Proc ILS Soton"/>
  </r>
  <r>
    <d v="2003-02-03T00:00:00"/>
    <x v="7"/>
    <s v="T"/>
    <x v="2"/>
    <s v="PA34"/>
    <x v="30"/>
    <x v="14"/>
    <s v="PUT"/>
    <s v="EGHI"/>
    <x v="31"/>
    <d v="1899-12-30T13:47:00"/>
    <d v="1899-12-30T15:36:00"/>
    <d v="1899-12-30T00:00:00"/>
    <d v="1899-12-30T00:00:00"/>
    <d v="1899-12-30T00:00:00"/>
    <d v="1899-12-30T01:49:00"/>
    <m/>
    <m/>
    <m/>
    <m/>
    <n v="1.8"/>
    <m/>
    <m/>
    <d v="1899-12-30T01:49:00"/>
    <s v="N Route (R41, G1), Filton 27 ILS"/>
  </r>
  <r>
    <d v="2003-02-04T00:00:00"/>
    <x v="7"/>
    <s v="T"/>
    <x v="2"/>
    <s v="PA34"/>
    <x v="30"/>
    <x v="14"/>
    <s v="PUT"/>
    <s v="EGHI"/>
    <x v="31"/>
    <d v="1899-12-30T10:01:00"/>
    <d v="1899-12-30T11:10:00"/>
    <d v="1899-12-30T00:00:00"/>
    <d v="1899-12-30T00:00:00"/>
    <d v="1899-12-30T00:00:00"/>
    <d v="1899-12-30T01:09:00"/>
    <m/>
    <m/>
    <m/>
    <m/>
    <n v="1.2"/>
    <m/>
    <m/>
    <d v="1899-12-30T01:09:00"/>
    <s v="Soton VOR/DME 02, NDB/DME 02"/>
  </r>
  <r>
    <d v="2003-02-04T00:00:00"/>
    <x v="7"/>
    <s v="T"/>
    <x v="2"/>
    <s v="PA34"/>
    <x v="30"/>
    <x v="14"/>
    <s v="PUT"/>
    <s v="EGHI"/>
    <x v="31"/>
    <d v="1899-12-30T13:25:00"/>
    <d v="1899-12-30T15:46:00"/>
    <d v="1899-12-30T00:00:00"/>
    <d v="1899-12-30T00:00:00"/>
    <d v="1899-12-30T00:00:00"/>
    <d v="1899-12-30T02:21:00"/>
    <m/>
    <m/>
    <m/>
    <m/>
    <n v="2.2999999999999998"/>
    <m/>
    <m/>
    <d v="1899-12-30T02:21:00"/>
    <s v="Cardiff via Exmor, ILS 30"/>
  </r>
  <r>
    <d v="2003-02-05T00:00:00"/>
    <x v="7"/>
    <s v="T"/>
    <x v="2"/>
    <s v="PA34"/>
    <x v="30"/>
    <x v="14"/>
    <s v="PUT"/>
    <s v="EGHI"/>
    <x v="31"/>
    <d v="1899-12-30T10:31:00"/>
    <d v="1899-12-30T12:31:00"/>
    <d v="1899-12-30T00:00:00"/>
    <d v="1899-12-30T00:00:00"/>
    <d v="1899-12-30T00:00:00"/>
    <d v="1899-12-30T02:00:00"/>
    <m/>
    <m/>
    <m/>
    <m/>
    <n v="2"/>
    <m/>
    <m/>
    <d v="1899-12-30T02:00:00"/>
    <s v="Exeter via Adson, Partial"/>
  </r>
  <r>
    <d v="2003-02-05T00:00:00"/>
    <x v="7"/>
    <s v="T"/>
    <x v="2"/>
    <s v="PA34"/>
    <x v="30"/>
    <x v="14"/>
    <s v="PUT"/>
    <s v="EGHI"/>
    <x v="31"/>
    <d v="1899-12-30T14:20:00"/>
    <d v="1899-12-30T16:08:00"/>
    <d v="1899-12-30T00:00:00"/>
    <d v="1899-12-30T00:00:00"/>
    <d v="1899-12-30T00:00:00"/>
    <d v="1899-12-30T01:48:00"/>
    <m/>
    <m/>
    <m/>
    <m/>
    <n v="1.8"/>
    <m/>
    <m/>
    <d v="1899-12-30T01:48:00"/>
    <s v="Bia via THRED, 2 ILS, General Handling"/>
  </r>
  <r>
    <d v="2003-02-06T00:00:00"/>
    <x v="7"/>
    <s v="T"/>
    <x v="2"/>
    <s v="PA34"/>
    <x v="30"/>
    <x v="14"/>
    <s v="PUT"/>
    <s v="EGHI"/>
    <x v="31"/>
    <d v="1899-12-30T09:46:00"/>
    <d v="1899-12-30T11:18:00"/>
    <d v="1899-12-30T00:00:00"/>
    <d v="1899-12-30T00:00:00"/>
    <d v="1899-12-30T00:00:00"/>
    <d v="1899-12-30T01:32:00"/>
    <m/>
    <m/>
    <m/>
    <m/>
    <n v="1.5"/>
    <m/>
    <m/>
    <d v="1899-12-30T01:32:00"/>
    <s v="4 ILS, SRA (2 Asym) + LLC"/>
  </r>
  <r>
    <d v="2003-02-06T00:00:00"/>
    <x v="7"/>
    <s v="T"/>
    <x v="2"/>
    <s v="PA34"/>
    <x v="30"/>
    <x v="14"/>
    <s v="PUT"/>
    <s v="EGHI"/>
    <x v="31"/>
    <d v="1899-12-30T13:42:00"/>
    <d v="1899-12-30T15:20:00"/>
    <d v="1899-12-30T00:00:00"/>
    <d v="1899-12-30T00:00:00"/>
    <d v="1899-12-30T00:00:00"/>
    <d v="1899-12-30T01:38:00"/>
    <m/>
    <m/>
    <m/>
    <m/>
    <n v="1.6"/>
    <m/>
    <m/>
    <d v="1899-12-30T01:38:00"/>
    <s v="Yeovil, ILS @ SAM"/>
  </r>
  <r>
    <d v="2003-02-07T00:00:00"/>
    <x v="7"/>
    <s v="T"/>
    <x v="2"/>
    <s v="PA34"/>
    <x v="30"/>
    <x v="14"/>
    <s v="PUT"/>
    <s v="EGHI"/>
    <x v="31"/>
    <d v="1899-12-30T10:41:00"/>
    <d v="1899-12-30T12:49:00"/>
    <d v="1899-12-30T00:00:00"/>
    <d v="1899-12-30T00:00:00"/>
    <d v="1899-12-30T00:00:00"/>
    <d v="1899-12-30T02:08:00"/>
    <m/>
    <m/>
    <m/>
    <m/>
    <n v="2.1"/>
    <m/>
    <m/>
    <d v="1899-12-30T02:08:00"/>
    <s v="Alderney"/>
  </r>
  <r>
    <d v="2003-02-07T00:00:00"/>
    <x v="7"/>
    <s v="T"/>
    <x v="2"/>
    <s v="PA34"/>
    <x v="30"/>
    <x v="14"/>
    <s v="PUT"/>
    <s v="EGHI"/>
    <x v="31"/>
    <d v="1899-12-30T14:15:00"/>
    <d v="1899-12-30T15:30:00"/>
    <d v="1899-12-30T00:00:00"/>
    <d v="1899-12-30T00:00:00"/>
    <d v="1899-12-30T00:00:00"/>
    <d v="1899-12-30T01:15:00"/>
    <m/>
    <m/>
    <m/>
    <m/>
    <n v="1.2"/>
    <m/>
    <m/>
    <d v="1899-12-30T01:15:00"/>
    <s v="Gen Handling, NDB @ SOTON"/>
  </r>
  <r>
    <d v="2003-02-10T00:00:00"/>
    <x v="7"/>
    <s v="T"/>
    <x v="2"/>
    <s v="PA34"/>
    <x v="30"/>
    <x v="15"/>
    <s v="PUT"/>
    <s v="EGHI"/>
    <x v="31"/>
    <d v="1899-12-30T13:00:00"/>
    <d v="1899-12-30T15:15:00"/>
    <d v="1899-12-30T00:00:00"/>
    <d v="1899-12-30T00:00:00"/>
    <d v="1899-12-30T00:00:00"/>
    <d v="1899-12-30T02:15:00"/>
    <m/>
    <m/>
    <m/>
    <m/>
    <n v="2.2000000000000002"/>
    <m/>
    <m/>
    <d v="1899-12-30T02:15:00"/>
    <s v="170A, Thred, BIA, YVL/NDB, Asym ILS SAM"/>
  </r>
  <r>
    <d v="2003-02-11T00:00:00"/>
    <x v="7"/>
    <s v="T"/>
    <x v="2"/>
    <s v="PA34"/>
    <x v="30"/>
    <x v="16"/>
    <s v="PUT"/>
    <s v="EGHI"/>
    <x v="31"/>
    <d v="1899-12-30T14:24:00"/>
    <d v="1899-12-30T16:55:00"/>
    <d v="1899-12-30T00:00:00"/>
    <d v="1899-12-30T00:00:00"/>
    <d v="1899-12-30T00:00:00"/>
    <d v="1899-12-30T02:31:00"/>
    <m/>
    <m/>
    <m/>
    <m/>
    <n v="2.2000000000000002"/>
    <m/>
    <m/>
    <d v="1899-12-30T02:31:00"/>
    <s v="IR Test -&gt; Cardiff. Partial"/>
  </r>
  <r>
    <d v="2003-02-12T00:00:00"/>
    <x v="7"/>
    <s v="T"/>
    <x v="2"/>
    <s v="PA34"/>
    <x v="30"/>
    <x v="14"/>
    <s v="PUT"/>
    <s v="EGHI"/>
    <x v="31"/>
    <d v="1899-12-30T10:00:00"/>
    <d v="1899-12-30T11:25:00"/>
    <d v="1899-12-30T00:00:00"/>
    <d v="1899-12-30T00:00:00"/>
    <d v="1899-12-30T00:00:00"/>
    <d v="1899-12-30T01:25:00"/>
    <m/>
    <m/>
    <m/>
    <m/>
    <n v="1.4"/>
    <m/>
    <m/>
    <d v="1899-12-30T01:25:00"/>
    <s v="4 * RAD VEC NDB"/>
  </r>
  <r>
    <d v="2003-02-13T00:00:00"/>
    <x v="7"/>
    <s v="T"/>
    <x v="2"/>
    <s v="PA34"/>
    <x v="30"/>
    <x v="4"/>
    <s v="P1"/>
    <s v="EGHI"/>
    <x v="31"/>
    <d v="1899-12-30T09:35:00"/>
    <d v="1899-12-30T10:15:00"/>
    <d v="1899-12-30T00:00:00"/>
    <d v="1899-12-30T00:00:00"/>
    <d v="1899-12-30T00:40:00"/>
    <d v="1899-12-30T00:00:00"/>
    <m/>
    <m/>
    <m/>
    <m/>
    <n v="0.6"/>
    <m/>
    <m/>
    <d v="1899-12-30T00:40:00"/>
    <s v="Red Vec NDB Retake.  PASS!"/>
  </r>
  <r>
    <d v="2003-02-22T00:00:00"/>
    <x v="7"/>
    <s v="T"/>
    <x v="2"/>
    <s v="PA34"/>
    <x v="19"/>
    <x v="4"/>
    <s v="P1"/>
    <s v="EGKA"/>
    <x v="34"/>
    <d v="1899-12-30T13:12:00"/>
    <d v="1899-12-30T14:18:00"/>
    <d v="1899-12-30T00:00:00"/>
    <d v="1899-12-30T00:00:00"/>
    <d v="1899-12-30T01:06:00"/>
    <d v="1899-12-30T00:00:00"/>
    <m/>
    <m/>
    <m/>
    <m/>
    <n v="0.4"/>
    <m/>
    <m/>
    <d v="1899-12-30T01:06:00"/>
    <s v="ILS -&gt; Cov"/>
  </r>
  <r>
    <d v="2003-02-22T00:00:00"/>
    <x v="7"/>
    <s v="T"/>
    <x v="2"/>
    <s v="PA34"/>
    <x v="19"/>
    <x v="4"/>
    <s v="P1"/>
    <s v="EGBE"/>
    <x v="0"/>
    <d v="1899-12-30T16:35:00"/>
    <d v="1899-12-30T17:43:00"/>
    <d v="1899-12-30T00:00:00"/>
    <d v="1899-12-30T00:00:00"/>
    <d v="1899-12-30T01:08:00"/>
    <d v="1899-12-30T00:00:00"/>
    <m/>
    <m/>
    <m/>
    <m/>
    <m/>
    <m/>
    <m/>
    <d v="1899-12-30T01:08:00"/>
    <m/>
  </r>
  <r>
    <d v="2003-03-01T00:00:00"/>
    <x v="10"/>
    <s v="T"/>
    <x v="2"/>
    <s v="PA23"/>
    <x v="31"/>
    <x v="4"/>
    <s v="P1"/>
    <s v="EGKA"/>
    <x v="25"/>
    <d v="1899-12-30T13:35:00"/>
    <d v="1899-12-30T14:55:00"/>
    <d v="1899-12-30T00:00:00"/>
    <d v="1899-12-30T00:00:00"/>
    <d v="1899-12-30T01:20:00"/>
    <d v="1899-12-30T00:00:00"/>
    <m/>
    <m/>
    <m/>
    <m/>
    <m/>
    <m/>
    <m/>
    <d v="1899-12-30T01:20:00"/>
    <s v="Type conversion with Terry"/>
  </r>
  <r>
    <d v="2003-03-01T00:00:00"/>
    <x v="10"/>
    <s v="T"/>
    <x v="2"/>
    <s v="PA23"/>
    <x v="31"/>
    <x v="4"/>
    <s v="P1"/>
    <s v="LFAC"/>
    <x v="0"/>
    <d v="1899-12-30T16:20:00"/>
    <d v="1899-12-30T17:20:00"/>
    <d v="1899-12-30T00:00:00"/>
    <d v="1899-12-30T00:00:00"/>
    <d v="1899-12-30T01:00:00"/>
    <d v="1899-12-30T00:00:00"/>
    <m/>
    <m/>
    <m/>
    <m/>
    <n v="0.4"/>
    <m/>
    <m/>
    <d v="1899-12-30T01:00:00"/>
    <s v="Bad WX at Shoreham"/>
  </r>
  <r>
    <d v="2003-03-06T00:00:00"/>
    <x v="7"/>
    <s v="T"/>
    <x v="2"/>
    <s v="PA34"/>
    <x v="19"/>
    <x v="4"/>
    <s v="P1"/>
    <s v="EGKA"/>
    <x v="35"/>
    <d v="1899-12-30T09:55:00"/>
    <d v="1899-12-30T12:50:00"/>
    <d v="1899-12-30T00:00:00"/>
    <d v="1899-12-30T00:00:00"/>
    <d v="1899-12-30T02:55:00"/>
    <d v="1899-12-30T00:00:00"/>
    <m/>
    <m/>
    <m/>
    <m/>
    <n v="1.2"/>
    <m/>
    <m/>
    <d v="1899-12-30T02:55:00"/>
    <s v="ILS -&gt; Chambery"/>
  </r>
  <r>
    <d v="2003-03-08T00:00:00"/>
    <x v="7"/>
    <s v="T"/>
    <x v="2"/>
    <s v="PA34"/>
    <x v="19"/>
    <x v="4"/>
    <s v="P1"/>
    <s v="LFLB"/>
    <x v="0"/>
    <d v="1899-12-30T13:20:00"/>
    <d v="1899-12-30T16:50:00"/>
    <d v="1899-12-30T00:00:00"/>
    <d v="1899-12-30T00:00:00"/>
    <d v="1899-12-30T03:30:00"/>
    <d v="1899-12-30T00:00:00"/>
    <m/>
    <m/>
    <m/>
    <m/>
    <m/>
    <m/>
    <m/>
    <d v="1899-12-30T03:30:00"/>
    <m/>
  </r>
  <r>
    <d v="2003-03-22T00:00:00"/>
    <x v="7"/>
    <s v="T"/>
    <x v="2"/>
    <s v="PA34"/>
    <x v="19"/>
    <x v="4"/>
    <s v="P1"/>
    <s v="EGKA"/>
    <x v="15"/>
    <d v="1899-12-30T09:50:00"/>
    <d v="1899-12-30T12:00:00"/>
    <d v="1899-12-30T00:00:00"/>
    <d v="1899-12-30T00:00:00"/>
    <d v="1899-12-30T02:10:00"/>
    <d v="1899-12-30T00:00:00"/>
    <m/>
    <m/>
    <m/>
    <m/>
    <m/>
    <m/>
    <m/>
    <d v="1899-12-30T02:10:00"/>
    <s v="IFR BCN-&gt; STU"/>
  </r>
  <r>
    <d v="2003-03-23T00:00:00"/>
    <x v="7"/>
    <s v="T"/>
    <x v="2"/>
    <s v="PA34"/>
    <x v="19"/>
    <x v="4"/>
    <s v="P1"/>
    <s v="EIWT"/>
    <x v="0"/>
    <d v="1899-12-30T13:37:00"/>
    <d v="1899-12-30T16:18:00"/>
    <d v="1899-12-30T00:00:00"/>
    <d v="1899-12-30T00:00:00"/>
    <d v="1899-12-30T02:41:00"/>
    <d v="1899-12-30T00:00:00"/>
    <m/>
    <m/>
    <m/>
    <m/>
    <m/>
    <m/>
    <m/>
    <d v="1899-12-30T02:41:00"/>
    <s v="IFR, WAL, HON, MID"/>
  </r>
  <r>
    <d v="2003-03-30T00:00:00"/>
    <x v="3"/>
    <s v="S"/>
    <x v="0"/>
    <s v="PA28-235"/>
    <x v="13"/>
    <x v="4"/>
    <s v="P1"/>
    <s v="EGKA"/>
    <x v="9"/>
    <d v="1899-12-30T08:55:00"/>
    <d v="1899-12-30T09:55:00"/>
    <d v="1899-12-30T01:00:00"/>
    <d v="1899-12-30T00:00:00"/>
    <d v="1899-12-30T00:00:00"/>
    <d v="1899-12-30T00:00:00"/>
    <m/>
    <m/>
    <m/>
    <m/>
    <m/>
    <m/>
    <m/>
    <d v="1899-12-30T01:00:00"/>
    <m/>
  </r>
  <r>
    <d v="2003-03-30T00:00:00"/>
    <x v="3"/>
    <s v="S"/>
    <x v="0"/>
    <s v="PA28-235"/>
    <x v="13"/>
    <x v="4"/>
    <s v="P1"/>
    <s v="EGBW"/>
    <x v="0"/>
    <d v="1899-12-30T15:50:00"/>
    <d v="1899-12-30T16:50:00"/>
    <d v="1899-12-30T01:00:00"/>
    <d v="1899-12-30T00:00:00"/>
    <d v="1899-12-30T00:00:00"/>
    <d v="1899-12-30T00:00:00"/>
    <m/>
    <m/>
    <m/>
    <m/>
    <m/>
    <m/>
    <m/>
    <d v="1899-12-30T01:00:00"/>
    <m/>
  </r>
  <r>
    <d v="2003-04-06T00:00:00"/>
    <x v="7"/>
    <s v="T"/>
    <x v="2"/>
    <s v="PA34"/>
    <x v="19"/>
    <x v="4"/>
    <s v="P1"/>
    <s v="EGKA"/>
    <x v="36"/>
    <d v="1899-12-30T10:30:00"/>
    <d v="1899-12-30T11:36:00"/>
    <d v="1899-12-30T00:00:00"/>
    <d v="1899-12-30T00:00:00"/>
    <d v="1899-12-30T01:06:00"/>
    <d v="1899-12-30T00:00:00"/>
    <m/>
    <m/>
    <m/>
    <m/>
    <n v="0.7"/>
    <m/>
    <m/>
    <d v="1899-12-30T01:06:00"/>
    <s v="With H, K &amp; Paul (Puppies)"/>
  </r>
  <r>
    <d v="2003-04-06T00:00:00"/>
    <x v="7"/>
    <s v="T"/>
    <x v="2"/>
    <s v="PA34"/>
    <x v="19"/>
    <x v="4"/>
    <s v="P1"/>
    <s v="EGBJ"/>
    <x v="37"/>
    <d v="1899-12-30T11:59:00"/>
    <d v="1899-12-30T12:42:00"/>
    <d v="1899-12-30T00:00:00"/>
    <d v="1899-12-30T00:00:00"/>
    <d v="1899-12-30T00:43:00"/>
    <d v="1899-12-30T00:00:00"/>
    <m/>
    <m/>
    <m/>
    <m/>
    <m/>
    <m/>
    <m/>
    <d v="1899-12-30T00:43:00"/>
    <m/>
  </r>
  <r>
    <d v="2003-04-06T00:00:00"/>
    <x v="7"/>
    <s v="T"/>
    <x v="2"/>
    <s v="PA34"/>
    <x v="19"/>
    <x v="4"/>
    <s v="P1"/>
    <s v="EGCW"/>
    <x v="0"/>
    <d v="1899-12-30T16:05:00"/>
    <d v="1899-12-30T17:20:00"/>
    <d v="1899-12-30T00:00:00"/>
    <d v="1899-12-30T00:00:00"/>
    <d v="1899-12-30T01:15:00"/>
    <d v="1899-12-30T00:00:00"/>
    <m/>
    <m/>
    <m/>
    <m/>
    <n v="0.4"/>
    <m/>
    <m/>
    <d v="1899-12-30T01:15:00"/>
    <s v="IFR, HON, MID &amp; Jumbos!"/>
  </r>
  <r>
    <d v="2003-05-05T00:00:00"/>
    <x v="1"/>
    <s v="S"/>
    <x v="0"/>
    <s v="PA28"/>
    <x v="32"/>
    <x v="4"/>
    <s v="P1"/>
    <s v="EGKA"/>
    <x v="0"/>
    <m/>
    <m/>
    <d v="1899-12-30T00:50:00"/>
    <d v="1899-12-30T00:00:00"/>
    <d v="1899-12-30T00:00:00"/>
    <d v="1899-12-30T00:00:00"/>
    <m/>
    <m/>
    <m/>
    <m/>
    <m/>
    <m/>
    <m/>
    <d v="1899-12-30T00:50:00"/>
    <s v="Local with H - not sure of times"/>
  </r>
  <r>
    <d v="2003-05-10T00:00:00"/>
    <x v="7"/>
    <s v="T"/>
    <x v="2"/>
    <s v="PA34"/>
    <x v="19"/>
    <x v="4"/>
    <s v="P1"/>
    <s v="EGKA"/>
    <x v="16"/>
    <d v="1899-12-30T10:25:00"/>
    <d v="1899-12-30T12:35:00"/>
    <d v="1899-12-30T00:00:00"/>
    <d v="1899-12-30T00:00:00"/>
    <d v="1899-12-30T02:10:00"/>
    <d v="1899-12-30T00:00:00"/>
    <m/>
    <m/>
    <m/>
    <m/>
    <m/>
    <m/>
    <m/>
    <d v="1899-12-30T02:10:00"/>
    <m/>
  </r>
  <r>
    <d v="2003-05-11T00:00:00"/>
    <x v="7"/>
    <s v="T"/>
    <x v="2"/>
    <s v="PA34"/>
    <x v="19"/>
    <x v="4"/>
    <s v="P1"/>
    <s v="EGNT"/>
    <x v="0"/>
    <d v="1899-12-30T08:55:00"/>
    <d v="1899-12-30T11:10:00"/>
    <d v="1899-12-30T00:00:00"/>
    <d v="1899-12-30T00:00:00"/>
    <d v="1899-12-30T02:15:00"/>
    <d v="1899-12-30T00:00:00"/>
    <m/>
    <m/>
    <m/>
    <m/>
    <n v="1"/>
    <m/>
    <m/>
    <d v="1899-12-30T02:15:00"/>
    <s v="Return via MCT"/>
  </r>
  <r>
    <d v="2003-05-24T00:00:00"/>
    <x v="6"/>
    <s v="S"/>
    <x v="0"/>
    <s v="DHC-1"/>
    <x v="33"/>
    <x v="17"/>
    <s v="PUT"/>
    <s v="EGKA"/>
    <x v="0"/>
    <d v="1899-12-30T15:25:00"/>
    <d v="1899-12-30T16:35:00"/>
    <d v="1899-12-30T00:00:00"/>
    <d v="1899-12-30T01:10:00"/>
    <d v="1899-12-30T00:00:00"/>
    <d v="1899-12-30T00:00:00"/>
    <m/>
    <m/>
    <m/>
    <m/>
    <m/>
    <m/>
    <m/>
    <d v="1899-12-30T01:10:00"/>
    <m/>
  </r>
  <r>
    <d v="2003-05-25T00:00:00"/>
    <x v="1"/>
    <s v="S"/>
    <x v="0"/>
    <s v="PA28"/>
    <x v="7"/>
    <x v="4"/>
    <s v="P1"/>
    <s v="EGFF"/>
    <x v="0"/>
    <d v="1899-12-30T15:20:00"/>
    <d v="1899-12-30T16:52:00"/>
    <d v="1899-12-30T01:32:00"/>
    <d v="1899-12-30T00:00:00"/>
    <d v="1899-12-30T00:00:00"/>
    <d v="1899-12-30T00:00:00"/>
    <m/>
    <m/>
    <m/>
    <m/>
    <m/>
    <m/>
    <m/>
    <d v="1899-12-30T01:32:00"/>
    <m/>
  </r>
  <r>
    <d v="2003-05-30T00:00:00"/>
    <x v="6"/>
    <s v="S"/>
    <x v="0"/>
    <s v="DHC-1"/>
    <x v="33"/>
    <x v="18"/>
    <s v="PUT"/>
    <s v="EGKA"/>
    <x v="0"/>
    <d v="1899-12-30T15:10:00"/>
    <d v="1899-12-30T15:35:00"/>
    <d v="1899-12-30T00:00:00"/>
    <d v="1899-12-30T00:25:00"/>
    <d v="1899-12-30T00:00:00"/>
    <d v="1899-12-30T00:00:00"/>
    <m/>
    <m/>
    <m/>
    <m/>
    <m/>
    <m/>
    <m/>
    <d v="1899-12-30T00:25:00"/>
    <s v="Abandoned to Goodwood"/>
  </r>
  <r>
    <d v="2003-06-01T00:00:00"/>
    <x v="6"/>
    <s v="S"/>
    <x v="0"/>
    <s v="DHC-1"/>
    <x v="33"/>
    <x v="18"/>
    <s v="PUT"/>
    <s v="EGKA"/>
    <x v="4"/>
    <d v="1899-12-30T09:05:00"/>
    <d v="1899-12-30T10:15:00"/>
    <d v="1899-12-30T00:00:00"/>
    <d v="1899-12-30T01:10:00"/>
    <d v="1899-12-30T00:00:00"/>
    <d v="1899-12-30T00:00:00"/>
    <m/>
    <m/>
    <m/>
    <m/>
    <m/>
    <m/>
    <m/>
    <d v="1899-12-30T01:10:00"/>
    <s v="5+1"/>
  </r>
  <r>
    <d v="2003-06-01T00:00:00"/>
    <x v="6"/>
    <s v="S"/>
    <x v="0"/>
    <s v="DHC-1"/>
    <x v="33"/>
    <x v="18"/>
    <s v="PUT"/>
    <s v="EGHR"/>
    <x v="0"/>
    <d v="1899-12-30T11:00:00"/>
    <d v="1899-12-30T11:30:00"/>
    <d v="1899-12-30T00:00:00"/>
    <d v="1899-12-30T00:30:00"/>
    <d v="1899-12-30T00:00:00"/>
    <d v="1899-12-30T00:00:00"/>
    <m/>
    <m/>
    <m/>
    <m/>
    <m/>
    <m/>
    <m/>
    <d v="1899-12-30T00:30:00"/>
    <s v="Landing on 03 Grass"/>
  </r>
  <r>
    <d v="2003-06-08T00:00:00"/>
    <x v="7"/>
    <s v="T"/>
    <x v="2"/>
    <s v="PA34"/>
    <x v="19"/>
    <x v="4"/>
    <s v="P1"/>
    <s v="EGKA"/>
    <x v="29"/>
    <d v="1899-12-30T10:46:00"/>
    <d v="1899-12-30T11:50:00"/>
    <d v="1899-12-30T00:00:00"/>
    <d v="1899-12-30T00:00:00"/>
    <d v="1899-12-30T01:04:00"/>
    <d v="1899-12-30T00:00:00"/>
    <m/>
    <m/>
    <m/>
    <m/>
    <m/>
    <m/>
    <m/>
    <d v="1899-12-30T01:04:00"/>
    <s v="With H, Rob, Martin &amp; Corinney"/>
  </r>
  <r>
    <d v="2003-06-08T00:00:00"/>
    <x v="7"/>
    <s v="T"/>
    <x v="2"/>
    <s v="PA34"/>
    <x v="19"/>
    <x v="4"/>
    <s v="P1"/>
    <s v="LFRG"/>
    <x v="0"/>
    <d v="1899-12-30T16:23:00"/>
    <d v="1899-12-30T17:15:00"/>
    <d v="1899-12-30T00:00:00"/>
    <d v="1899-12-30T00:00:00"/>
    <d v="1899-12-30T00:52:00"/>
    <d v="1899-12-30T00:00:00"/>
    <m/>
    <m/>
    <m/>
    <m/>
    <m/>
    <m/>
    <m/>
    <d v="1899-12-30T00:52:00"/>
    <m/>
  </r>
  <r>
    <d v="2003-06-14T00:00:00"/>
    <x v="6"/>
    <s v="S"/>
    <x v="0"/>
    <s v="DHC-1"/>
    <x v="33"/>
    <x v="18"/>
    <s v="PUT"/>
    <s v="EGKA"/>
    <x v="4"/>
    <d v="1899-12-30T14:30:00"/>
    <d v="1899-12-30T16:05:00"/>
    <d v="1899-12-30T00:00:00"/>
    <d v="1899-12-30T01:35:00"/>
    <d v="1899-12-30T00:00:00"/>
    <d v="1899-12-30T00:00:00"/>
    <m/>
    <m/>
    <m/>
    <m/>
    <m/>
    <m/>
    <m/>
    <d v="1899-12-30T01:35:00"/>
    <s v="12+1"/>
  </r>
  <r>
    <d v="2003-06-14T00:00:00"/>
    <x v="6"/>
    <s v="S"/>
    <x v="0"/>
    <s v="DHC-1"/>
    <x v="33"/>
    <x v="18"/>
    <s v="PUT"/>
    <s v="EGHR"/>
    <x v="0"/>
    <d v="1899-12-30T16:30:00"/>
    <d v="1899-12-30T16:55:00"/>
    <d v="1899-12-30T00:00:00"/>
    <d v="1899-12-30T00:25:00"/>
    <d v="1899-12-30T00:00:00"/>
    <d v="1899-12-30T00:00:00"/>
    <m/>
    <m/>
    <m/>
    <m/>
    <m/>
    <m/>
    <m/>
    <d v="1899-12-30T00:25:00"/>
    <m/>
  </r>
  <r>
    <d v="2003-06-15T00:00:00"/>
    <x v="6"/>
    <s v="S"/>
    <x v="0"/>
    <s v="DHC-1"/>
    <x v="33"/>
    <x v="18"/>
    <s v="PUT"/>
    <s v="EGKA"/>
    <x v="4"/>
    <d v="1899-12-30T11:15:00"/>
    <d v="1899-12-30T12:00:00"/>
    <d v="1899-12-30T00:00:00"/>
    <d v="1899-12-30T00:45:00"/>
    <d v="1899-12-30T00:00:00"/>
    <d v="1899-12-30T00:00:00"/>
    <m/>
    <m/>
    <m/>
    <m/>
    <m/>
    <m/>
    <m/>
    <d v="1899-12-30T00:45:00"/>
    <s v="3+1"/>
  </r>
  <r>
    <d v="2003-06-15T00:00:00"/>
    <x v="6"/>
    <s v="S"/>
    <x v="0"/>
    <s v="DHC-1"/>
    <x v="33"/>
    <x v="18"/>
    <s v="PUT"/>
    <s v="EGHR"/>
    <x v="0"/>
    <d v="1899-12-30T12:30:00"/>
    <d v="1899-12-30T13:10:00"/>
    <d v="1899-12-30T00:00:00"/>
    <d v="1899-12-30T00:40:00"/>
    <d v="1899-12-30T00:00:00"/>
    <d v="1899-12-30T00:00:00"/>
    <m/>
    <m/>
    <m/>
    <m/>
    <m/>
    <m/>
    <m/>
    <d v="1899-12-30T00:40:00"/>
    <s v="3+1"/>
  </r>
  <r>
    <d v="2003-06-21T00:00:00"/>
    <x v="6"/>
    <s v="S"/>
    <x v="0"/>
    <s v="DHC-1"/>
    <x v="33"/>
    <x v="18"/>
    <s v="PUT"/>
    <s v="EGKA"/>
    <x v="4"/>
    <d v="1899-12-30T12:40:00"/>
    <d v="1899-12-30T14:00:00"/>
    <d v="1899-12-30T00:00:00"/>
    <d v="1899-12-30T01:20:00"/>
    <d v="1899-12-30T00:00:00"/>
    <d v="1899-12-30T00:00:00"/>
    <m/>
    <m/>
    <m/>
    <m/>
    <m/>
    <m/>
    <m/>
    <d v="1899-12-30T01:20:00"/>
    <s v="11+1"/>
  </r>
  <r>
    <d v="2003-06-21T00:00:00"/>
    <x v="6"/>
    <s v="S"/>
    <x v="0"/>
    <s v="DHC-1"/>
    <x v="33"/>
    <x v="18"/>
    <s v="PUT"/>
    <s v="EGHR"/>
    <x v="0"/>
    <d v="1899-12-30T14:35:00"/>
    <d v="1899-12-30T15:10:00"/>
    <d v="1899-12-30T00:00:00"/>
    <d v="1899-12-30T00:35:00"/>
    <d v="1899-12-30T00:00:00"/>
    <d v="1899-12-30T00:00:00"/>
    <m/>
    <m/>
    <m/>
    <m/>
    <m/>
    <m/>
    <m/>
    <d v="1899-12-30T00:35:00"/>
    <m/>
  </r>
  <r>
    <d v="2003-06-22T00:00:00"/>
    <x v="6"/>
    <s v="S"/>
    <x v="0"/>
    <s v="DHC-1"/>
    <x v="33"/>
    <x v="18"/>
    <s v="PUT"/>
    <s v="EGKA"/>
    <x v="4"/>
    <d v="1899-12-30T11:40:00"/>
    <d v="1899-12-30T12:55:00"/>
    <d v="1899-12-30T00:00:00"/>
    <d v="1899-12-30T01:15:00"/>
    <d v="1899-12-30T00:00:00"/>
    <d v="1899-12-30T00:00:00"/>
    <m/>
    <m/>
    <m/>
    <m/>
    <m/>
    <m/>
    <m/>
    <d v="1899-12-30T01:15:00"/>
    <s v="6+1"/>
  </r>
  <r>
    <d v="2003-06-22T00:00:00"/>
    <x v="6"/>
    <s v="S"/>
    <x v="0"/>
    <s v="DHC-1"/>
    <x v="33"/>
    <x v="18"/>
    <s v="PUT"/>
    <s v="EGHR"/>
    <x v="0"/>
    <d v="1899-12-30T13:45:00"/>
    <d v="1899-12-30T14:10:00"/>
    <d v="1899-12-30T00:00:00"/>
    <d v="1899-12-30T00:25:00"/>
    <d v="1899-12-30T00:00:00"/>
    <d v="1899-12-30T00:00:00"/>
    <m/>
    <m/>
    <m/>
    <m/>
    <m/>
    <m/>
    <m/>
    <d v="1899-12-30T00:25:00"/>
    <m/>
  </r>
  <r>
    <d v="2003-06-28T00:00:00"/>
    <x v="6"/>
    <s v="S"/>
    <x v="0"/>
    <s v="DHC-1"/>
    <x v="33"/>
    <x v="18"/>
    <s v="PUT"/>
    <s v="EGKA"/>
    <x v="0"/>
    <d v="1899-12-30T09:00:00"/>
    <d v="1899-12-30T10:10:00"/>
    <d v="1899-12-30T00:00:00"/>
    <d v="1899-12-30T01:10:00"/>
    <d v="1899-12-30T00:00:00"/>
    <d v="1899-12-30T00:00:00"/>
    <m/>
    <m/>
    <m/>
    <m/>
    <m/>
    <m/>
    <m/>
    <d v="1899-12-30T01:10:00"/>
    <s v="8+1 Wheelers"/>
  </r>
  <r>
    <d v="2003-06-29T00:00:00"/>
    <x v="7"/>
    <s v="T"/>
    <x v="2"/>
    <s v="PA34"/>
    <x v="19"/>
    <x v="4"/>
    <s v="P1"/>
    <s v="EGKA"/>
    <x v="29"/>
    <d v="1899-12-30T12:00:00"/>
    <d v="1899-12-30T13:00:00"/>
    <d v="1899-12-30T00:00:00"/>
    <d v="1899-12-30T00:00:00"/>
    <d v="1899-12-30T01:00:00"/>
    <d v="1899-12-30T00:00:00"/>
    <m/>
    <m/>
    <m/>
    <m/>
    <m/>
    <m/>
    <m/>
    <d v="1899-12-30T01:00:00"/>
    <s v="With Rene"/>
  </r>
  <r>
    <d v="2003-06-29T00:00:00"/>
    <x v="7"/>
    <s v="T"/>
    <x v="2"/>
    <s v="PA34"/>
    <x v="19"/>
    <x v="4"/>
    <s v="P1"/>
    <s v="LFRG"/>
    <x v="0"/>
    <d v="1899-12-30T16:30:00"/>
    <d v="1899-12-30T17:30:00"/>
    <d v="1899-12-30T00:00:00"/>
    <d v="1899-12-30T00:00:00"/>
    <d v="1899-12-30T01:00:00"/>
    <d v="1899-12-30T00:00:00"/>
    <m/>
    <m/>
    <m/>
    <m/>
    <m/>
    <m/>
    <m/>
    <d v="1899-12-30T01:00:00"/>
    <m/>
  </r>
  <r>
    <d v="2003-07-05T00:00:00"/>
    <x v="3"/>
    <s v="S"/>
    <x v="0"/>
    <s v="PA28-235"/>
    <x v="13"/>
    <x v="4"/>
    <s v="P1"/>
    <s v="EGKA"/>
    <x v="15"/>
    <d v="1899-12-30T08:24:00"/>
    <d v="1899-12-30T11:04:00"/>
    <d v="1899-12-30T02:40:00"/>
    <d v="1899-12-30T00:00:00"/>
    <d v="1899-12-30T00:00:00"/>
    <d v="1899-12-30T00:00:00"/>
    <m/>
    <m/>
    <m/>
    <m/>
    <m/>
    <m/>
    <m/>
    <d v="1899-12-30T02:40:00"/>
    <m/>
  </r>
  <r>
    <d v="2003-07-06T00:00:00"/>
    <x v="3"/>
    <s v="S"/>
    <x v="0"/>
    <s v="PA28-235"/>
    <x v="13"/>
    <x v="4"/>
    <s v="P1"/>
    <s v="EIWT"/>
    <x v="0"/>
    <d v="1899-12-30T13:10:00"/>
    <d v="1899-12-30T15:40:00"/>
    <d v="1899-12-30T02:30:00"/>
    <d v="1899-12-30T00:00:00"/>
    <d v="1899-12-30T00:00:00"/>
    <d v="1899-12-30T00:00:00"/>
    <m/>
    <m/>
    <m/>
    <m/>
    <m/>
    <m/>
    <m/>
    <d v="1899-12-30T02:30:00"/>
    <m/>
  </r>
  <r>
    <d v="2003-07-20T00:00:00"/>
    <x v="11"/>
    <s v="S"/>
    <x v="0"/>
    <s v="PA28R"/>
    <x v="34"/>
    <x v="14"/>
    <s v="PUT"/>
    <s v="EGHI"/>
    <x v="31"/>
    <d v="1899-12-30T10:55:00"/>
    <d v="1899-12-30T12:10:00"/>
    <d v="1899-12-30T00:00:00"/>
    <d v="1899-12-30T01:15:00"/>
    <d v="1899-12-30T00:00:00"/>
    <d v="1899-12-30T00:00:00"/>
    <m/>
    <m/>
    <m/>
    <m/>
    <m/>
    <m/>
    <m/>
    <d v="1899-12-30T01:15:00"/>
    <s v="CPL GH Steep turns, stalls &amp; Circuits"/>
  </r>
  <r>
    <d v="2003-07-20T00:00:00"/>
    <x v="11"/>
    <s v="S"/>
    <x v="0"/>
    <s v="PA28R"/>
    <x v="34"/>
    <x v="14"/>
    <s v="PUT"/>
    <s v="EGHI"/>
    <x v="31"/>
    <d v="1899-12-30T13:00:00"/>
    <d v="1899-12-30T14:21:00"/>
    <d v="1899-12-30T00:00:00"/>
    <d v="1899-12-30T01:21:00"/>
    <d v="1899-12-30T00:00:00"/>
    <d v="1899-12-30T00:00:00"/>
    <m/>
    <m/>
    <m/>
    <m/>
    <m/>
    <m/>
    <m/>
    <d v="1899-12-30T01:21:00"/>
    <s v="CPL GH, CCTS Flappless = PFL"/>
  </r>
  <r>
    <d v="2003-07-26T00:00:00"/>
    <x v="3"/>
    <s v="S"/>
    <x v="0"/>
    <s v="PA28-235"/>
    <x v="13"/>
    <x v="4"/>
    <s v="P1"/>
    <s v="EGKA"/>
    <x v="29"/>
    <d v="1899-12-30T09:52:00"/>
    <d v="1899-12-30T11:08:00"/>
    <d v="1899-12-30T01:16:00"/>
    <d v="1899-12-30T00:00:00"/>
    <d v="1899-12-30T00:00:00"/>
    <d v="1899-12-30T00:00:00"/>
    <m/>
    <m/>
    <m/>
    <m/>
    <n v="0.9"/>
    <m/>
    <m/>
    <d v="1899-12-30T01:16:00"/>
    <s v="ILS -&gt; Deaville"/>
  </r>
  <r>
    <d v="2003-07-26T00:00:00"/>
    <x v="3"/>
    <s v="S"/>
    <x v="0"/>
    <s v="PA28-235"/>
    <x v="13"/>
    <x v="4"/>
    <s v="P1"/>
    <s v="LFRG"/>
    <x v="38"/>
    <d v="1899-12-30T11:47:00"/>
    <d v="1899-12-30T13:50:00"/>
    <d v="1899-12-30T02:03:00"/>
    <d v="1899-12-30T00:00:00"/>
    <d v="1899-12-30T00:00:00"/>
    <d v="1899-12-30T00:00:00"/>
    <m/>
    <m/>
    <m/>
    <m/>
    <n v="1.5"/>
    <m/>
    <m/>
    <d v="1899-12-30T02:03:00"/>
    <m/>
  </r>
  <r>
    <d v="2003-07-27T00:00:00"/>
    <x v="3"/>
    <s v="S"/>
    <x v="0"/>
    <s v="PA28-235"/>
    <x v="13"/>
    <x v="4"/>
    <s v="P1"/>
    <s v="LFBK"/>
    <x v="29"/>
    <d v="1899-12-30T08:00:00"/>
    <d v="1899-12-30T09:57:00"/>
    <d v="1899-12-30T01:57:00"/>
    <d v="1899-12-30T00:00:00"/>
    <d v="1899-12-30T00:00:00"/>
    <d v="1899-12-30T00:00:00"/>
    <m/>
    <m/>
    <m/>
    <m/>
    <n v="1.2"/>
    <m/>
    <m/>
    <d v="1899-12-30T01:57:00"/>
    <m/>
  </r>
  <r>
    <d v="2003-07-27T00:00:00"/>
    <x v="3"/>
    <s v="S"/>
    <x v="0"/>
    <s v="PA28-235"/>
    <x v="13"/>
    <x v="4"/>
    <s v="P1"/>
    <s v="LFRG"/>
    <x v="0"/>
    <d v="1899-12-30T10:32:00"/>
    <d v="1899-12-30T11:31:00"/>
    <d v="1899-12-30T00:59:00"/>
    <d v="1899-12-30T00:00:00"/>
    <d v="1899-12-30T00:00:00"/>
    <d v="1899-12-30T00:00:00"/>
    <m/>
    <m/>
    <m/>
    <m/>
    <n v="0.3"/>
    <m/>
    <m/>
    <d v="1899-12-30T00:59:00"/>
    <m/>
  </r>
  <r>
    <d v="2003-08-02T00:00:00"/>
    <x v="11"/>
    <s v="S"/>
    <x v="0"/>
    <s v="PA28R"/>
    <x v="34"/>
    <x v="14"/>
    <s v="PUT"/>
    <s v="EGHI"/>
    <x v="31"/>
    <d v="1899-12-30T13:18:00"/>
    <d v="1899-12-30T14:46:00"/>
    <d v="1899-12-30T00:00:00"/>
    <d v="1899-12-30T01:28:00"/>
    <d v="1899-12-30T00:00:00"/>
    <d v="1899-12-30T00:00:00"/>
    <m/>
    <m/>
    <m/>
    <m/>
    <m/>
    <m/>
    <m/>
    <d v="1899-12-30T01:28:00"/>
    <s v="Nav Cuckfield + Steep turns"/>
  </r>
  <r>
    <d v="2003-08-02T00:00:00"/>
    <x v="11"/>
    <s v="S"/>
    <x v="0"/>
    <s v="PA28R"/>
    <x v="34"/>
    <x v="14"/>
    <s v="PUT"/>
    <s v="EGHI"/>
    <x v="31"/>
    <d v="1899-12-30T15:53:00"/>
    <d v="1899-12-30T16:55:00"/>
    <d v="1899-12-30T00:00:00"/>
    <d v="1899-12-30T01:02:00"/>
    <d v="1899-12-30T00:00:00"/>
    <d v="1899-12-30T00:00:00"/>
    <m/>
    <m/>
    <m/>
    <m/>
    <m/>
    <m/>
    <m/>
    <d v="1899-12-30T01:02:00"/>
    <s v="CCTS (10), Glide, Flappless, LLC"/>
  </r>
  <r>
    <d v="2003-08-03T00:00:00"/>
    <x v="11"/>
    <s v="S"/>
    <x v="0"/>
    <s v="PA28R"/>
    <x v="34"/>
    <x v="14"/>
    <s v="PUT"/>
    <s v="EGHI"/>
    <x v="31"/>
    <d v="1899-12-30T12:21:00"/>
    <d v="1899-12-30T13:54:00"/>
    <d v="1899-12-30T00:00:00"/>
    <d v="1899-12-30T01:33:00"/>
    <d v="1899-12-30T00:00:00"/>
    <d v="1899-12-30T00:00:00"/>
    <m/>
    <m/>
    <m/>
    <m/>
    <n v="0.4"/>
    <m/>
    <m/>
    <d v="1899-12-30T01:33:00"/>
    <s v="Hav Hungerford, PFL-&gt; Compt, Spiral Dive, PP"/>
  </r>
  <r>
    <d v="2003-08-08T00:00:00"/>
    <x v="11"/>
    <s v="S"/>
    <x v="0"/>
    <s v="PA28R"/>
    <x v="34"/>
    <x v="12"/>
    <s v="PUT"/>
    <s v="EGHI"/>
    <x v="31"/>
    <d v="1899-12-30T13:40:00"/>
    <d v="1899-12-30T15:36:00"/>
    <d v="1899-12-30T00:00:00"/>
    <d v="1899-12-30T01:56:00"/>
    <d v="1899-12-30T00:00:00"/>
    <d v="1899-12-30T00:00:00"/>
    <m/>
    <m/>
    <m/>
    <m/>
    <n v="0.4"/>
    <m/>
    <m/>
    <d v="1899-12-30T01:56:00"/>
    <s v="CPL 170"/>
  </r>
  <r>
    <d v="2003-08-15T00:00:00"/>
    <x v="11"/>
    <s v="S"/>
    <x v="0"/>
    <s v="PA28R"/>
    <x v="34"/>
    <x v="4"/>
    <s v="P1"/>
    <s v="EGHI"/>
    <x v="31"/>
    <d v="1899-12-30T10:52:00"/>
    <d v="1899-12-30T12:22:00"/>
    <d v="1899-12-30T01:30:00"/>
    <d v="1899-12-30T00:00:00"/>
    <d v="1899-12-30T00:00:00"/>
    <d v="1899-12-30T00:00:00"/>
    <m/>
    <m/>
    <m/>
    <m/>
    <m/>
    <m/>
    <m/>
    <d v="1899-12-30T01:30:00"/>
    <s v="Navex Evercreech"/>
  </r>
  <r>
    <d v="2003-08-16T00:00:00"/>
    <x v="11"/>
    <s v="S"/>
    <x v="0"/>
    <s v="PA28R"/>
    <x v="34"/>
    <x v="14"/>
    <s v="PUT"/>
    <s v="EGHI"/>
    <x v="31"/>
    <d v="1899-12-30T10:15:00"/>
    <d v="1899-12-30T10:39:00"/>
    <d v="1899-12-30T00:00:00"/>
    <d v="1899-12-30T00:24:00"/>
    <d v="1899-12-30T00:00:00"/>
    <d v="1899-12-30T00:00:00"/>
    <m/>
    <m/>
    <m/>
    <m/>
    <m/>
    <m/>
    <m/>
    <d v="1899-12-30T00:24:00"/>
    <s v="PFL's"/>
  </r>
  <r>
    <d v="2003-08-16T00:00:00"/>
    <x v="11"/>
    <s v="S"/>
    <x v="0"/>
    <s v="PA28R"/>
    <x v="34"/>
    <x v="15"/>
    <s v="PUT"/>
    <s v="EGHI"/>
    <x v="31"/>
    <d v="1899-12-30T13:00:00"/>
    <d v="1899-12-30T15:10:00"/>
    <d v="1899-12-30T00:00:00"/>
    <d v="1899-12-30T02:10:00"/>
    <d v="1899-12-30T00:00:00"/>
    <d v="1899-12-30T00:00:00"/>
    <m/>
    <m/>
    <m/>
    <m/>
    <m/>
    <m/>
    <m/>
    <d v="1899-12-30T02:10:00"/>
    <s v="CPL Flight test - partial"/>
  </r>
  <r>
    <d v="2003-08-22T00:00:00"/>
    <x v="11"/>
    <s v="S"/>
    <x v="0"/>
    <s v="PA28R"/>
    <x v="34"/>
    <x v="14"/>
    <s v="PUT"/>
    <s v="EGHI"/>
    <x v="31"/>
    <d v="1899-12-30T08:57:00"/>
    <d v="1899-12-30T10:37:00"/>
    <d v="1899-12-30T00:00:00"/>
    <d v="1899-12-30T01:40:00"/>
    <d v="1899-12-30T00:00:00"/>
    <d v="1899-12-30T00:00:00"/>
    <m/>
    <m/>
    <m/>
    <m/>
    <m/>
    <m/>
    <m/>
    <d v="1899-12-30T01:40:00"/>
    <s v="Lots of PFL's"/>
  </r>
  <r>
    <d v="2003-08-22T00:00:00"/>
    <x v="11"/>
    <s v="S"/>
    <x v="0"/>
    <s v="PA28R"/>
    <x v="34"/>
    <x v="14"/>
    <s v="PUT"/>
    <s v="EGHI"/>
    <x v="31"/>
    <d v="1899-12-30T11:30:00"/>
    <d v="1899-12-30T12:30:00"/>
    <d v="1899-12-30T00:00:00"/>
    <d v="1899-12-30T01:00:00"/>
    <d v="1899-12-30T00:00:00"/>
    <d v="1899-12-30T00:00:00"/>
    <m/>
    <m/>
    <m/>
    <m/>
    <m/>
    <m/>
    <m/>
    <d v="1899-12-30T01:00:00"/>
    <s v="More PFL's"/>
  </r>
  <r>
    <d v="2003-08-23T00:00:00"/>
    <x v="7"/>
    <s v="T"/>
    <x v="2"/>
    <s v="PA34"/>
    <x v="35"/>
    <x v="4"/>
    <s v="P1"/>
    <s v="EGKA"/>
    <x v="14"/>
    <d v="1899-12-30T10:42:00"/>
    <d v="1899-12-30T11:36:00"/>
    <d v="1899-12-30T00:00:00"/>
    <d v="1899-12-30T00:00:00"/>
    <d v="1899-12-30T00:54:00"/>
    <d v="1899-12-30T00:00:00"/>
    <m/>
    <m/>
    <m/>
    <m/>
    <m/>
    <m/>
    <m/>
    <d v="1899-12-30T00:54:00"/>
    <s v="With H, Chris &amp; Jo"/>
  </r>
  <r>
    <d v="2003-08-23T00:00:00"/>
    <x v="7"/>
    <s v="T"/>
    <x v="2"/>
    <s v="PA34"/>
    <x v="35"/>
    <x v="4"/>
    <s v="P1"/>
    <s v="LFAT"/>
    <x v="0"/>
    <d v="1899-12-30T15:32:00"/>
    <d v="1899-12-30T16:18:00"/>
    <d v="1899-12-30T00:00:00"/>
    <d v="1899-12-30T00:00:00"/>
    <d v="1899-12-30T00:46:00"/>
    <d v="1899-12-30T00:00:00"/>
    <m/>
    <m/>
    <m/>
    <m/>
    <m/>
    <m/>
    <m/>
    <d v="1899-12-30T00:46:00"/>
    <m/>
  </r>
  <r>
    <d v="2003-08-24T00:00:00"/>
    <x v="11"/>
    <s v="S"/>
    <x v="0"/>
    <s v="PA28R"/>
    <x v="34"/>
    <x v="4"/>
    <s v="P1"/>
    <s v="EGHI"/>
    <x v="31"/>
    <d v="1899-12-30T13:53:00"/>
    <d v="1899-12-30T15:07:00"/>
    <d v="1899-12-30T01:14:00"/>
    <d v="1899-12-30T00:00:00"/>
    <d v="1899-12-30T00:00:00"/>
    <d v="1899-12-30T00:00:00"/>
    <m/>
    <m/>
    <m/>
    <m/>
    <m/>
    <m/>
    <m/>
    <d v="1899-12-30T01:14:00"/>
    <s v="PFL Practice"/>
  </r>
  <r>
    <d v="2003-09-06T00:00:00"/>
    <x v="3"/>
    <s v="S"/>
    <x v="0"/>
    <s v="PA28-235"/>
    <x v="13"/>
    <x v="4"/>
    <s v="P1"/>
    <s v="EGKA"/>
    <x v="39"/>
    <d v="1899-12-30T08:25:00"/>
    <d v="1899-12-30T09:30:00"/>
    <d v="1899-12-30T01:05:00"/>
    <d v="1899-12-30T00:00:00"/>
    <d v="1899-12-30T00:00:00"/>
    <d v="1899-12-30T00:00:00"/>
    <m/>
    <m/>
    <m/>
    <m/>
    <m/>
    <m/>
    <m/>
    <d v="1899-12-30T01:05:00"/>
    <s v="With H &amp; Danny - Flyout"/>
  </r>
  <r>
    <d v="2003-09-07T00:00:00"/>
    <x v="3"/>
    <s v="S"/>
    <x v="0"/>
    <s v="PA28-235"/>
    <x v="13"/>
    <x v="4"/>
    <s v="P1"/>
    <s v="EGJJ"/>
    <x v="0"/>
    <d v="1899-12-30T10:22:00"/>
    <d v="1899-12-30T11:39:00"/>
    <d v="1899-12-30T01:17:00"/>
    <d v="1899-12-30T00:00:00"/>
    <d v="1899-12-30T00:00:00"/>
    <d v="1899-12-30T00:00:00"/>
    <m/>
    <m/>
    <m/>
    <m/>
    <n v="0.5"/>
    <m/>
    <m/>
    <d v="1899-12-30T01:17:00"/>
    <s v="IMC &amp; Carb Ice"/>
  </r>
  <r>
    <d v="2003-11-01T00:00:00"/>
    <x v="10"/>
    <s v="T"/>
    <x v="2"/>
    <s v="PA23"/>
    <x v="31"/>
    <x v="19"/>
    <s v="PUT"/>
    <s v="EGKA"/>
    <x v="0"/>
    <d v="1899-12-30T09:20:00"/>
    <d v="1899-12-30T09:55:00"/>
    <d v="1899-12-30T00:00:00"/>
    <d v="1899-12-30T00:00:00"/>
    <d v="1899-12-30T00:00:00"/>
    <d v="1899-12-30T00:35:00"/>
    <m/>
    <m/>
    <m/>
    <m/>
    <m/>
    <m/>
    <m/>
    <d v="1899-12-30T00:35:00"/>
    <m/>
  </r>
  <r>
    <d v="2003-11-01T00:00:00"/>
    <x v="10"/>
    <s v="T"/>
    <x v="2"/>
    <s v="PA23"/>
    <x v="31"/>
    <x v="4"/>
    <s v="P1"/>
    <s v="EGKA"/>
    <x v="0"/>
    <d v="1899-12-30T11:39:00"/>
    <d v="1899-12-30T12:12:00"/>
    <d v="1899-12-30T00:00:00"/>
    <d v="1899-12-30T00:00:00"/>
    <d v="1899-12-30T00:33:00"/>
    <d v="1899-12-30T00:00:00"/>
    <m/>
    <m/>
    <m/>
    <m/>
    <m/>
    <m/>
    <m/>
    <d v="1899-12-30T00:33:00"/>
    <s v="Aborted flight to Weston - Fuel Cap popped"/>
  </r>
  <r>
    <d v="2003-11-01T00:00:00"/>
    <x v="10"/>
    <s v="T"/>
    <x v="2"/>
    <s v="PA23"/>
    <x v="31"/>
    <x v="4"/>
    <s v="P1"/>
    <s v="EGKA"/>
    <x v="15"/>
    <d v="1899-12-30T12:56:00"/>
    <d v="1899-12-30T15:22:00"/>
    <d v="1899-12-30T00:00:00"/>
    <d v="1899-12-30T00:00:00"/>
    <d v="1899-12-30T02:26:00"/>
    <d v="1899-12-30T00:00:00"/>
    <m/>
    <m/>
    <m/>
    <m/>
    <m/>
    <m/>
    <m/>
    <d v="1899-12-30T02:26:00"/>
    <s v="Dublin ILS 26"/>
  </r>
  <r>
    <d v="2003-11-02T00:00:00"/>
    <x v="10"/>
    <s v="T"/>
    <x v="2"/>
    <s v="PA23"/>
    <x v="31"/>
    <x v="4"/>
    <s v="P1"/>
    <s v="EIWT"/>
    <x v="0"/>
    <d v="1899-12-30T15:15:00"/>
    <d v="1899-12-30T17:24:00"/>
    <d v="1899-12-30T00:00:00"/>
    <d v="1899-12-30T00:00:00"/>
    <d v="1899-12-30T01:45:00"/>
    <d v="1899-12-30T00:00:00"/>
    <m/>
    <m/>
    <d v="1899-12-30T00:24:00"/>
    <m/>
    <n v="0.5"/>
    <m/>
    <m/>
    <d v="1899-12-30T02:09:00"/>
    <m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2004-01-24T00:00:00"/>
    <x v="7"/>
    <s v="T"/>
    <x v="2"/>
    <s v="PA34"/>
    <x v="30"/>
    <x v="20"/>
    <s v="PUT"/>
    <s v="EGHI"/>
    <x v="31"/>
    <d v="1899-12-30T10:00:00"/>
    <d v="1899-12-30T12:05:00"/>
    <d v="1899-12-30T00:00:00"/>
    <d v="1899-12-30T00:00:00"/>
    <d v="1899-12-30T00:00:00"/>
    <d v="1899-12-30T02:05:00"/>
    <m/>
    <m/>
    <m/>
    <m/>
    <n v="1.8"/>
    <m/>
    <m/>
    <d v="1899-12-30T02:05:00"/>
    <s v="Thred, BIA (ILS) + Gen Handling + MEP renewal"/>
  </r>
  <r>
    <d v="2004-01-24T00:00:00"/>
    <x v="7"/>
    <s v="T"/>
    <x v="2"/>
    <s v="PA34"/>
    <x v="30"/>
    <x v="20"/>
    <s v="PUT"/>
    <s v="EGHI"/>
    <x v="31"/>
    <d v="1899-12-30T14:20:00"/>
    <d v="1899-12-30T16:00:00"/>
    <d v="1899-12-30T00:00:00"/>
    <d v="1899-12-30T00:00:00"/>
    <d v="1899-12-30T00:00:00"/>
    <d v="1899-12-30T01:40:00"/>
    <m/>
    <m/>
    <m/>
    <m/>
    <n v="1.5"/>
    <m/>
    <m/>
    <d v="1899-12-30T01:40:00"/>
    <s v="Adson, BIA (ILS), NDB SAM 1+1"/>
  </r>
  <r>
    <d v="2004-03-09T00:00:00"/>
    <x v="7"/>
    <s v="T"/>
    <x v="2"/>
    <s v="PA34"/>
    <x v="35"/>
    <x v="4"/>
    <s v="P1"/>
    <s v="EGKA"/>
    <x v="0"/>
    <d v="1899-12-30T15:25:00"/>
    <d v="1899-12-30T16:45:00"/>
    <d v="1899-12-30T00:00:00"/>
    <d v="1899-12-30T00:00:00"/>
    <d v="1899-12-30T01:20:00"/>
    <d v="1899-12-30T00:00:00"/>
    <m/>
    <m/>
    <m/>
    <m/>
    <m/>
    <m/>
    <m/>
    <d v="1899-12-30T01:20:00"/>
    <m/>
  </r>
  <r>
    <d v="2004-03-10T00:00:00"/>
    <x v="7"/>
    <s v="T"/>
    <x v="2"/>
    <s v="PA34"/>
    <x v="35"/>
    <x v="4"/>
    <s v="P1"/>
    <s v="EGKA"/>
    <x v="9"/>
    <d v="1899-12-30T15:25:00"/>
    <d v="1899-12-30T16:35:00"/>
    <d v="1899-12-30T00:00:00"/>
    <d v="1899-12-30T00:00:00"/>
    <d v="1899-12-30T01:10:00"/>
    <d v="1899-12-30T00:00:00"/>
    <m/>
    <m/>
    <m/>
    <m/>
    <m/>
    <m/>
    <m/>
    <d v="1899-12-30T01:10:00"/>
    <m/>
  </r>
  <r>
    <d v="2004-03-11T00:00:00"/>
    <x v="7"/>
    <s v="T"/>
    <x v="2"/>
    <s v="PA34"/>
    <x v="35"/>
    <x v="4"/>
    <s v="P1"/>
    <s v="EGBW"/>
    <x v="0"/>
    <d v="1899-12-30T15:25:00"/>
    <d v="1899-12-30T16:25:00"/>
    <d v="1899-12-30T00:00:00"/>
    <d v="1899-12-30T00:00:00"/>
    <d v="1899-12-30T01:00:00"/>
    <d v="1899-12-30T00:00:00"/>
    <m/>
    <m/>
    <m/>
    <m/>
    <m/>
    <m/>
    <m/>
    <d v="1899-12-30T01:00:00"/>
    <m/>
  </r>
  <r>
    <d v="2004-03-13T00:00:00"/>
    <x v="7"/>
    <s v="T"/>
    <x v="2"/>
    <s v="PA34"/>
    <x v="30"/>
    <x v="13"/>
    <s v="PUT"/>
    <s v="EGHI"/>
    <x v="31"/>
    <d v="1899-12-30T12:50:00"/>
    <d v="1899-12-30T15:00:00"/>
    <d v="1899-12-30T00:00:00"/>
    <d v="1899-12-30T00:00:00"/>
    <d v="1899-12-30T00:00:00"/>
    <d v="1899-12-30T02:10:00"/>
    <m/>
    <m/>
    <m/>
    <m/>
    <n v="1.9"/>
    <m/>
    <m/>
    <d v="1899-12-30T02:10:00"/>
    <s v="IR Renewal Partial, Thred, BIA - Partialed on NDB tracking"/>
  </r>
  <r>
    <d v="2004-03-14T00:00:00"/>
    <x v="1"/>
    <s v="S"/>
    <x v="0"/>
    <s v="PA28"/>
    <x v="26"/>
    <x v="19"/>
    <s v="PUT"/>
    <s v="EGKA"/>
    <x v="0"/>
    <d v="1899-12-30T11:10:00"/>
    <d v="1899-12-30T12:20:00"/>
    <d v="1899-12-30T00:00:00"/>
    <d v="1899-12-30T01:10:00"/>
    <d v="1899-12-30T00:00:00"/>
    <d v="1899-12-30T00:00:00"/>
    <m/>
    <m/>
    <m/>
    <m/>
    <m/>
    <m/>
    <m/>
    <d v="1899-12-30T01:10:00"/>
    <s v="Pre FIC Flight Test, Stalls, Steep turns etc"/>
  </r>
  <r>
    <d v="2004-05-07T00:00:00"/>
    <x v="7"/>
    <s v="T"/>
    <x v="2"/>
    <s v="PA34"/>
    <x v="36"/>
    <x v="20"/>
    <s v="PUT"/>
    <s v="EGHI"/>
    <x v="31"/>
    <d v="1899-12-30T16:35:00"/>
    <d v="1899-12-30T18:20:00"/>
    <d v="1899-12-30T00:00:00"/>
    <d v="1899-12-30T00:00:00"/>
    <d v="1899-12-30T00:00:00"/>
    <d v="1899-12-30T01:45:00"/>
    <m/>
    <m/>
    <m/>
    <m/>
    <m/>
    <m/>
    <m/>
    <d v="1899-12-30T01:45:00"/>
    <s v="Holds GWC, IW and Asym to Soton"/>
  </r>
  <r>
    <d v="2004-05-08T00:00:00"/>
    <x v="7"/>
    <s v="T"/>
    <x v="2"/>
    <s v="PA34"/>
    <x v="36"/>
    <x v="20"/>
    <s v="PUT"/>
    <s v="EGHI"/>
    <x v="31"/>
    <d v="1899-12-30T09:40:00"/>
    <d v="1899-12-30T11:20:00"/>
    <d v="1899-12-30T00:00:00"/>
    <d v="1899-12-30T00:00:00"/>
    <d v="1899-12-30T00:00:00"/>
    <d v="1899-12-30T01:40:00"/>
    <m/>
    <m/>
    <m/>
    <m/>
    <n v="1.5"/>
    <m/>
    <m/>
    <d v="1899-12-30T01:40:00"/>
    <s v="Thred, BIA, Holds, ILS, Asym Soton"/>
  </r>
  <r>
    <d v="2004-05-23T00:00:00"/>
    <x v="1"/>
    <s v="S"/>
    <x v="0"/>
    <s v="PA28"/>
    <x v="12"/>
    <x v="4"/>
    <s v="P1"/>
    <s v="EGKA"/>
    <x v="5"/>
    <d v="1899-12-30T08:20:00"/>
    <d v="1899-12-30T09:50:00"/>
    <d v="1899-12-30T01:30:00"/>
    <d v="1899-12-30T00:00:00"/>
    <d v="1899-12-30T00:00:00"/>
    <d v="1899-12-30T00:00:00"/>
    <m/>
    <m/>
    <m/>
    <m/>
    <m/>
    <m/>
    <m/>
    <d v="1899-12-30T01:30:00"/>
    <s v="SEP Skills Test - Signed"/>
  </r>
  <r>
    <d v="2004-05-23T00:00:00"/>
    <x v="1"/>
    <s v="S"/>
    <x v="0"/>
    <s v="PA28"/>
    <x v="12"/>
    <x v="4"/>
    <s v="P1"/>
    <s v="EGKB"/>
    <x v="0"/>
    <d v="1899-12-30T10:08:00"/>
    <d v="1899-12-30T10:49:00"/>
    <d v="1899-12-30T00:41:00"/>
    <d v="1899-12-30T00:00:00"/>
    <d v="1899-12-30T00:00:00"/>
    <d v="1899-12-30T00:00:00"/>
    <m/>
    <m/>
    <m/>
    <m/>
    <m/>
    <m/>
    <m/>
    <d v="1899-12-30T00:41:00"/>
    <m/>
  </r>
  <r>
    <d v="2004-06-11T00:00:00"/>
    <x v="7"/>
    <s v="T"/>
    <x v="2"/>
    <s v="PA34"/>
    <x v="36"/>
    <x v="20"/>
    <s v="PUT"/>
    <s v="EGHI"/>
    <x v="31"/>
    <d v="1899-12-30T10:24:00"/>
    <d v="1899-12-30T12:23:00"/>
    <d v="1899-12-30T00:00:00"/>
    <d v="1899-12-30T00:00:00"/>
    <d v="1899-12-30T00:00:00"/>
    <d v="1899-12-30T01:59:00"/>
    <m/>
    <m/>
    <m/>
    <m/>
    <n v="1.7"/>
    <m/>
    <m/>
    <d v="1899-12-30T01:59:00"/>
    <s v="Thred, BIA, Hold ILS, GA, Asym Soton"/>
  </r>
  <r>
    <d v="2004-06-11T00:00:00"/>
    <x v="7"/>
    <s v="T"/>
    <x v="2"/>
    <s v="PA34"/>
    <x v="36"/>
    <x v="20"/>
    <s v="PUT"/>
    <s v="EGHI"/>
    <x v="31"/>
    <d v="1899-12-30T13:20:00"/>
    <d v="1899-12-30T14:00:00"/>
    <d v="1899-12-30T00:00:00"/>
    <d v="1899-12-30T00:00:00"/>
    <d v="1899-12-30T00:00:00"/>
    <d v="1899-12-30T00:40:00"/>
    <m/>
    <m/>
    <m/>
    <m/>
    <n v="0.4"/>
    <m/>
    <m/>
    <d v="1899-12-30T00:40:00"/>
    <s v="NDB 20 Asym"/>
  </r>
  <r>
    <d v="2004-06-13T00:00:00"/>
    <x v="7"/>
    <s v="T"/>
    <x v="2"/>
    <s v="PA34"/>
    <x v="36"/>
    <x v="4"/>
    <s v="P1"/>
    <s v="EGHI"/>
    <x v="31"/>
    <d v="1899-12-30T14:25:00"/>
    <d v="1899-12-30T15:15:00"/>
    <d v="1899-12-30T00:00:00"/>
    <d v="1899-12-30T00:00:00"/>
    <d v="1899-12-30T00:50:00"/>
    <d v="1899-12-30T00:00:00"/>
    <m/>
    <m/>
    <m/>
    <m/>
    <n v="0.6"/>
    <m/>
    <m/>
    <d v="1899-12-30T00:50:00"/>
    <s v="IR Renewal - Pass"/>
  </r>
  <r>
    <d v="2004-06-20T00:00:00"/>
    <x v="7"/>
    <s v="T"/>
    <x v="2"/>
    <s v="PA34"/>
    <x v="35"/>
    <x v="4"/>
    <s v="P1"/>
    <s v="EGKA"/>
    <x v="29"/>
    <d v="1899-12-30T09:00:00"/>
    <d v="1899-12-30T10:00:00"/>
    <d v="1899-12-30T00:00:00"/>
    <d v="1899-12-30T00:00:00"/>
    <d v="1899-12-30T01:00:00"/>
    <d v="1899-12-30T00:00:00"/>
    <m/>
    <m/>
    <m/>
    <m/>
    <m/>
    <m/>
    <m/>
    <d v="1899-12-30T01:00:00"/>
    <m/>
  </r>
  <r>
    <d v="2004-06-20T00:00:00"/>
    <x v="7"/>
    <s v="T"/>
    <x v="2"/>
    <s v="PA34"/>
    <x v="35"/>
    <x v="4"/>
    <s v="P1"/>
    <s v="LFRG"/>
    <x v="0"/>
    <d v="1899-12-30T14:25:00"/>
    <d v="1899-12-30T15:20:00"/>
    <d v="1899-12-30T00:00:00"/>
    <d v="1899-12-30T00:00:00"/>
    <d v="1899-12-30T00:55:00"/>
    <d v="1899-12-30T00:00:00"/>
    <m/>
    <m/>
    <m/>
    <m/>
    <m/>
    <m/>
    <m/>
    <d v="1899-12-30T00:55:00"/>
    <m/>
  </r>
  <r>
    <d v="2004-06-26T00:00:00"/>
    <x v="1"/>
    <s v="S"/>
    <x v="0"/>
    <s v="PA28"/>
    <x v="26"/>
    <x v="19"/>
    <s v="PUT"/>
    <s v="EGKA"/>
    <x v="0"/>
    <d v="1899-12-30T10:00:00"/>
    <d v="1899-12-30T10:40:00"/>
    <d v="1899-12-30T00:00:00"/>
    <d v="1899-12-30T00:40:00"/>
    <d v="1899-12-30T00:00:00"/>
    <d v="1899-12-30T00:00:00"/>
    <m/>
    <m/>
    <m/>
    <m/>
    <m/>
    <m/>
    <m/>
    <d v="1899-12-30T00:40:00"/>
    <s v="FIC Ex9 Give, Ex 5 "/>
  </r>
  <r>
    <d v="2004-06-26T00:00:00"/>
    <x v="1"/>
    <s v="S"/>
    <x v="0"/>
    <s v="PA28"/>
    <x v="26"/>
    <x v="19"/>
    <s v="PUT"/>
    <s v="EGKA"/>
    <x v="0"/>
    <d v="1899-12-30T12:25:00"/>
    <d v="1899-12-30T13:10:00"/>
    <d v="1899-12-30T00:00:00"/>
    <d v="1899-12-30T00:45:00"/>
    <d v="1899-12-30T00:00:00"/>
    <d v="1899-12-30T00:00:00"/>
    <m/>
    <m/>
    <m/>
    <m/>
    <m/>
    <m/>
    <m/>
    <d v="1899-12-30T00:45:00"/>
    <s v="FIC Ex9 Give, Ex 5 "/>
  </r>
  <r>
    <d v="2004-06-27T00:00:00"/>
    <x v="7"/>
    <s v="T"/>
    <x v="2"/>
    <s v="PA34"/>
    <x v="35"/>
    <x v="4"/>
    <s v="P1"/>
    <s v="EGKA"/>
    <x v="29"/>
    <d v="1899-12-30T08:35:00"/>
    <d v="1899-12-30T09:30:00"/>
    <d v="1899-12-30T00:00:00"/>
    <d v="1899-12-30T00:00:00"/>
    <d v="1899-12-30T00:55:00"/>
    <d v="1899-12-30T00:00:00"/>
    <m/>
    <m/>
    <m/>
    <m/>
    <m/>
    <m/>
    <m/>
    <d v="1899-12-30T00:55:00"/>
    <s v="Abandoned IFR to Chambery (Transponder)"/>
  </r>
  <r>
    <d v="2004-06-28T00:00:00"/>
    <x v="7"/>
    <s v="T"/>
    <x v="2"/>
    <s v="PA34"/>
    <x v="35"/>
    <x v="4"/>
    <s v="P1"/>
    <s v="LFRG"/>
    <x v="29"/>
    <d v="1899-12-30T10:05:00"/>
    <d v="1899-12-30T11:05:00"/>
    <d v="1899-12-30T00:00:00"/>
    <d v="1899-12-30T00:00:00"/>
    <d v="1899-12-30T01:00:00"/>
    <d v="1899-12-30T00:00:00"/>
    <m/>
    <m/>
    <m/>
    <m/>
    <m/>
    <m/>
    <m/>
    <d v="1899-12-30T01:00:00"/>
    <s v="Abandoned VFR to Chambery (Transponder)"/>
  </r>
  <r>
    <d v="2004-07-02T00:00:00"/>
    <x v="12"/>
    <s v="S"/>
    <x v="0"/>
    <s v="PA38"/>
    <x v="37"/>
    <x v="19"/>
    <s v="PUT"/>
    <s v="EGKA"/>
    <x v="0"/>
    <d v="1899-12-30T15:40:00"/>
    <d v="1899-12-30T16:30:00"/>
    <d v="1899-12-30T00:00:00"/>
    <d v="1899-12-30T00:50:00"/>
    <d v="1899-12-30T00:00:00"/>
    <d v="1899-12-30T00:00:00"/>
    <m/>
    <m/>
    <m/>
    <m/>
    <m/>
    <m/>
    <m/>
    <d v="1899-12-30T00:50:00"/>
    <s v="FIC, Ex 4.1 GiveBack  Ex5"/>
  </r>
  <r>
    <d v="2004-07-05T00:00:00"/>
    <x v="12"/>
    <s v="S"/>
    <x v="0"/>
    <s v="PA38"/>
    <x v="37"/>
    <x v="19"/>
    <s v="PUT"/>
    <s v="EGKA"/>
    <x v="0"/>
    <d v="1899-12-30T14:40:00"/>
    <d v="1899-12-30T16:00:00"/>
    <d v="1899-12-30T00:00:00"/>
    <d v="1899-12-30T01:20:00"/>
    <d v="1899-12-30T00:00:00"/>
    <d v="1899-12-30T00:00:00"/>
    <m/>
    <m/>
    <m/>
    <m/>
    <m/>
    <m/>
    <m/>
    <d v="1899-12-30T01:20:00"/>
    <s v="FIC, Ex 4.1 4.2 Give Ex5"/>
  </r>
  <r>
    <d v="2004-07-06T00:00:00"/>
    <x v="1"/>
    <s v="S"/>
    <x v="0"/>
    <s v="PA28"/>
    <x v="27"/>
    <x v="19"/>
    <s v="PUT"/>
    <s v="EGKA"/>
    <x v="0"/>
    <d v="1899-12-30T10:45:00"/>
    <d v="1899-12-30T11:55:00"/>
    <d v="1899-12-30T00:00:00"/>
    <d v="1899-12-30T01:10:00"/>
    <d v="1899-12-30T00:00:00"/>
    <d v="1899-12-30T00:00:00"/>
    <m/>
    <m/>
    <m/>
    <m/>
    <m/>
    <m/>
    <m/>
    <d v="1899-12-30T01:10:00"/>
    <s v="FIC Ex 4.2 Give Back, Ex 6.1 Give"/>
  </r>
  <r>
    <d v="2004-07-24T00:00:00"/>
    <x v="3"/>
    <s v="S"/>
    <x v="0"/>
    <s v="PA28-235"/>
    <x v="13"/>
    <x v="4"/>
    <s v="P1"/>
    <s v="EGKA"/>
    <x v="40"/>
    <d v="1899-12-30T08:00:00"/>
    <d v="1899-12-30T09:50:00"/>
    <d v="1899-12-30T01:50:00"/>
    <d v="1899-12-30T00:00:00"/>
    <d v="1899-12-30T00:00:00"/>
    <d v="1899-12-30T00:00:00"/>
    <m/>
    <m/>
    <m/>
    <m/>
    <m/>
    <m/>
    <m/>
    <d v="1899-12-30T01:50:00"/>
    <s v="Airways"/>
  </r>
  <r>
    <d v="2004-07-24T00:00:00"/>
    <x v="3"/>
    <s v="S"/>
    <x v="0"/>
    <s v="PA28-235"/>
    <x v="13"/>
    <x v="4"/>
    <s v="P1"/>
    <s v="LFOQ"/>
    <x v="41"/>
    <d v="1899-12-30T11:20:00"/>
    <d v="1899-12-30T12:55:00"/>
    <d v="1899-12-30T01:35:00"/>
    <d v="1899-12-30T00:00:00"/>
    <d v="1899-12-30T00:00:00"/>
    <d v="1899-12-30T00:00:00"/>
    <m/>
    <m/>
    <m/>
    <m/>
    <m/>
    <m/>
    <m/>
    <d v="1899-12-30T01:35:00"/>
    <m/>
  </r>
  <r>
    <d v="2004-07-25T00:00:00"/>
    <x v="3"/>
    <s v="S"/>
    <x v="0"/>
    <s v="PA28-235"/>
    <x v="13"/>
    <x v="4"/>
    <s v="P1"/>
    <s v="LFRG"/>
    <x v="0"/>
    <d v="1899-12-30T16:45:00"/>
    <d v="1899-12-30T17:50:00"/>
    <d v="1899-12-30T01:05:00"/>
    <d v="1899-12-30T00:00:00"/>
    <d v="1899-12-30T00:00:00"/>
    <d v="1899-12-30T00:00:00"/>
    <m/>
    <m/>
    <m/>
    <m/>
    <m/>
    <m/>
    <m/>
    <d v="1899-12-30T01:05:00"/>
    <m/>
  </r>
  <r>
    <d v="2004-07-31T00:00:00"/>
    <x v="12"/>
    <s v="S"/>
    <x v="0"/>
    <s v="PA38"/>
    <x v="37"/>
    <x v="19"/>
    <s v="PUT"/>
    <s v="EGKA"/>
    <x v="0"/>
    <d v="1899-12-30T10:45:00"/>
    <d v="1899-12-30T12:00:00"/>
    <d v="1899-12-30T00:00:00"/>
    <d v="1899-12-30T01:15:00"/>
    <d v="1899-12-30T00:00:00"/>
    <d v="1899-12-30T00:00:00"/>
    <m/>
    <m/>
    <m/>
    <m/>
    <m/>
    <m/>
    <m/>
    <d v="1899-12-30T01:15:00"/>
    <s v="FIC Ex 6.1 Give Back, 6.2 Give"/>
  </r>
  <r>
    <d v="2004-08-01T00:00:00"/>
    <x v="1"/>
    <s v="S"/>
    <x v="0"/>
    <s v="PA28"/>
    <x v="27"/>
    <x v="19"/>
    <s v="PUT"/>
    <s v="EGKA"/>
    <x v="0"/>
    <d v="1899-12-30T13:55:00"/>
    <d v="1899-12-30T15:10:00"/>
    <d v="1899-12-30T00:00:00"/>
    <d v="1899-12-30T01:15:00"/>
    <d v="1899-12-30T00:00:00"/>
    <d v="1899-12-30T00:00:00"/>
    <m/>
    <m/>
    <m/>
    <m/>
    <m/>
    <m/>
    <m/>
    <d v="1899-12-30T01:15:00"/>
    <s v="FIC Ex 6.2 Give back, 7, 8.1 Give"/>
  </r>
  <r>
    <d v="2004-08-07T00:00:00"/>
    <x v="1"/>
    <s v="S"/>
    <x v="0"/>
    <s v="PA28"/>
    <x v="12"/>
    <x v="19"/>
    <s v="PUT"/>
    <s v="EGKA"/>
    <x v="0"/>
    <d v="1899-12-30T10:25:00"/>
    <d v="1899-12-30T12:05:00"/>
    <d v="1899-12-30T00:00:00"/>
    <d v="1899-12-30T01:40:00"/>
    <d v="1899-12-30T00:00:00"/>
    <d v="1899-12-30T00:00:00"/>
    <m/>
    <m/>
    <m/>
    <m/>
    <m/>
    <m/>
    <m/>
    <d v="1899-12-30T01:40:00"/>
    <s v="FIC Ex 7, 8.1 give back, 8.2 Give"/>
  </r>
  <r>
    <d v="2004-08-07T00:00:00"/>
    <x v="12"/>
    <s v="S"/>
    <x v="0"/>
    <s v="PA38"/>
    <x v="37"/>
    <x v="19"/>
    <s v="PUT"/>
    <s v="EGKA"/>
    <x v="0"/>
    <d v="1899-12-30T14:00:00"/>
    <d v="1899-12-30T15:35:00"/>
    <d v="1899-12-30T00:00:00"/>
    <d v="1899-12-30T01:35:00"/>
    <d v="1899-12-30T00:00:00"/>
    <d v="1899-12-30T00:00:00"/>
    <m/>
    <m/>
    <m/>
    <m/>
    <m/>
    <m/>
    <m/>
    <d v="1899-12-30T01:35:00"/>
    <s v="FIC 8.2 Give back, 10b1 give"/>
  </r>
  <r>
    <d v="2004-08-08T00:00:00"/>
    <x v="12"/>
    <s v="S"/>
    <x v="0"/>
    <s v="PA38"/>
    <x v="37"/>
    <x v="4"/>
    <s v="P1"/>
    <s v="EGKA"/>
    <x v="0"/>
    <d v="1899-12-30T09:30:00"/>
    <d v="1899-12-30T10:40:00"/>
    <d v="1899-12-30T01:10:00"/>
    <d v="1899-12-30T00:00:00"/>
    <d v="1899-12-30T00:00:00"/>
    <d v="1899-12-30T00:00:00"/>
    <m/>
    <m/>
    <m/>
    <m/>
    <m/>
    <m/>
    <m/>
    <d v="1899-12-30T01:10:00"/>
    <s v="FIC Ex 6.1 Mutual to Adrian"/>
  </r>
  <r>
    <d v="2004-08-08T00:00:00"/>
    <x v="12"/>
    <s v="S"/>
    <x v="0"/>
    <s v="PA38"/>
    <x v="37"/>
    <x v="19"/>
    <s v="PUT"/>
    <s v="EGKA"/>
    <x v="0"/>
    <d v="1899-12-30T14:25:00"/>
    <d v="1899-12-30T15:55:00"/>
    <d v="1899-12-30T00:00:00"/>
    <d v="1899-12-30T01:30:00"/>
    <d v="1899-12-30T00:00:00"/>
    <d v="1899-12-30T00:00:00"/>
    <m/>
    <m/>
    <m/>
    <m/>
    <m/>
    <m/>
    <m/>
    <d v="1899-12-30T01:30:00"/>
    <s v="FIC Ex 10b1 Give back, 10b2 give"/>
  </r>
  <r>
    <d v="2004-08-21T00:00:00"/>
    <x v="10"/>
    <s v="T"/>
    <x v="2"/>
    <s v="PA23"/>
    <x v="31"/>
    <x v="4"/>
    <s v="P1"/>
    <s v="EGKA"/>
    <x v="0"/>
    <d v="1899-12-30T11:05:00"/>
    <d v="1899-12-30T11:45:00"/>
    <d v="1899-12-30T00:00:00"/>
    <d v="1899-12-30T00:00:00"/>
    <d v="1899-12-30T00:40:00"/>
    <d v="1899-12-30T00:00:00"/>
    <m/>
    <m/>
    <m/>
    <m/>
    <m/>
    <m/>
    <m/>
    <d v="1899-12-30T00:40:00"/>
    <s v="Check Flight"/>
  </r>
  <r>
    <d v="2004-08-21T00:00:00"/>
    <x v="12"/>
    <s v="S"/>
    <x v="0"/>
    <s v="PA38"/>
    <x v="37"/>
    <x v="19"/>
    <s v="PUT"/>
    <s v="EGKA"/>
    <x v="0"/>
    <d v="1899-12-30T12:50:00"/>
    <d v="1899-12-30T14:10:00"/>
    <d v="1899-12-30T00:00:00"/>
    <d v="1899-12-30T01:20:00"/>
    <d v="1899-12-30T00:00:00"/>
    <d v="1899-12-30T00:00:00"/>
    <m/>
    <m/>
    <m/>
    <m/>
    <m/>
    <m/>
    <m/>
    <d v="1899-12-30T01:20:00"/>
    <s v="FIC Ex 10B2 Give Back, Ex 12, 13 Give"/>
  </r>
  <r>
    <d v="2004-08-22T00:00:00"/>
    <x v="10"/>
    <s v="T"/>
    <x v="2"/>
    <s v="PA23"/>
    <x v="31"/>
    <x v="4"/>
    <s v="P1"/>
    <s v="EGKA"/>
    <x v="14"/>
    <d v="1899-12-30T10:30:00"/>
    <d v="1899-12-30T11:20:00"/>
    <d v="1899-12-30T00:00:00"/>
    <d v="1899-12-30T00:00:00"/>
    <d v="1899-12-30T00:50:00"/>
    <d v="1899-12-30T00:00:00"/>
    <m/>
    <m/>
    <m/>
    <m/>
    <m/>
    <m/>
    <m/>
    <d v="1899-12-30T00:50:00"/>
    <m/>
  </r>
  <r>
    <d v="2004-08-22T00:00:00"/>
    <x v="1"/>
    <s v="S"/>
    <x v="0"/>
    <s v="PA28"/>
    <x v="27"/>
    <x v="4"/>
    <s v="P1"/>
    <s v="EGKA"/>
    <x v="0"/>
    <d v="1899-12-30T15:25:00"/>
    <d v="1899-12-30T16:25:00"/>
    <d v="1899-12-30T01:00:00"/>
    <d v="1899-12-30T00:00:00"/>
    <d v="1899-12-30T00:00:00"/>
    <d v="1899-12-30T00:00:00"/>
    <m/>
    <m/>
    <m/>
    <m/>
    <m/>
    <m/>
    <m/>
    <d v="1899-12-30T01:00:00"/>
    <s v="FIC Ex 4.1 Give to Heather"/>
  </r>
  <r>
    <d v="2004-08-22T00:00:00"/>
    <x v="10"/>
    <s v="T"/>
    <x v="2"/>
    <s v="PA23"/>
    <x v="31"/>
    <x v="4"/>
    <s v="P1"/>
    <s v="LFAT"/>
    <x v="0"/>
    <d v="1899-12-30T15:50:00"/>
    <d v="1899-12-30T16:30:00"/>
    <d v="1899-12-30T00:00:00"/>
    <d v="1899-12-30T00:00:00"/>
    <d v="1899-12-30T00:40:00"/>
    <d v="1899-12-30T00:00:00"/>
    <m/>
    <m/>
    <m/>
    <m/>
    <m/>
    <m/>
    <m/>
    <d v="1899-12-30T00:40:00"/>
    <m/>
  </r>
  <r>
    <d v="2004-08-28T00:00:00"/>
    <x v="7"/>
    <s v="T"/>
    <x v="2"/>
    <s v="PA34"/>
    <x v="35"/>
    <x v="4"/>
    <s v="P1"/>
    <s v="EGKA"/>
    <x v="30"/>
    <d v="1899-12-30T07:20:00"/>
    <d v="1899-12-30T08:25:00"/>
    <d v="1899-12-30T00:00:00"/>
    <d v="1899-12-30T00:00:00"/>
    <d v="1899-12-30T01:05:00"/>
    <d v="1899-12-30T00:00:00"/>
    <m/>
    <m/>
    <m/>
    <m/>
    <m/>
    <m/>
    <m/>
    <d v="1899-12-30T01:05:00"/>
    <m/>
  </r>
  <r>
    <d v="2004-08-29T00:00:00"/>
    <x v="7"/>
    <s v="T"/>
    <x v="2"/>
    <s v="PA34"/>
    <x v="35"/>
    <x v="4"/>
    <s v="P1"/>
    <s v="EGFF"/>
    <x v="0"/>
    <d v="1899-12-30T16:30:00"/>
    <d v="1899-12-30T17:35:00"/>
    <d v="1899-12-30T00:00:00"/>
    <d v="1899-12-30T00:00:00"/>
    <d v="1899-12-30T01:05:00"/>
    <d v="1899-12-30T00:00:00"/>
    <m/>
    <m/>
    <m/>
    <m/>
    <m/>
    <m/>
    <m/>
    <d v="1899-12-30T01:05:00"/>
    <m/>
  </r>
  <r>
    <d v="2004-09-04T00:00:00"/>
    <x v="13"/>
    <s v="S"/>
    <x v="0"/>
    <s v="T67C"/>
    <x v="38"/>
    <x v="19"/>
    <s v="PUT"/>
    <s v="EGKA"/>
    <x v="0"/>
    <d v="1899-12-30T13:25:00"/>
    <d v="1899-12-30T14:15:00"/>
    <d v="1899-12-30T00:00:00"/>
    <d v="1899-12-30T00:50:00"/>
    <d v="1899-12-30T00:00:00"/>
    <d v="1899-12-30T00:00:00"/>
    <m/>
    <m/>
    <m/>
    <m/>
    <m/>
    <m/>
    <m/>
    <d v="1899-12-30T00:50:00"/>
    <s v="FIC Ex 11 Spinning"/>
  </r>
  <r>
    <d v="2004-09-05T00:00:00"/>
    <x v="12"/>
    <s v="S"/>
    <x v="0"/>
    <s v="PA38"/>
    <x v="37"/>
    <x v="19"/>
    <s v="PUT"/>
    <s v="EGKA"/>
    <x v="0"/>
    <d v="1899-12-30T10:05:00"/>
    <d v="1899-12-30T11:30:00"/>
    <d v="1899-12-30T00:00:00"/>
    <d v="1899-12-30T01:25:00"/>
    <d v="1899-12-30T00:00:00"/>
    <d v="1899-12-30T00:00:00"/>
    <m/>
    <m/>
    <m/>
    <m/>
    <m/>
    <m/>
    <m/>
    <d v="1899-12-30T01:25:00"/>
    <s v="FIC Ex 15 Give &amp; Give Back"/>
  </r>
  <r>
    <d v="2004-09-05T00:00:00"/>
    <x v="13"/>
    <s v="S"/>
    <x v="0"/>
    <s v="T67C"/>
    <x v="38"/>
    <x v="19"/>
    <s v="PUT"/>
    <s v="EGKA"/>
    <x v="0"/>
    <d v="1899-12-30T14:10:00"/>
    <d v="1899-12-30T15:05:00"/>
    <d v="1899-12-30T00:00:00"/>
    <d v="1899-12-30T00:55:00"/>
    <d v="1899-12-30T00:00:00"/>
    <d v="1899-12-30T00:00:00"/>
    <m/>
    <m/>
    <m/>
    <m/>
    <m/>
    <m/>
    <m/>
    <d v="1899-12-30T00:55:00"/>
    <s v="FIC Ex 11 Spinning  &amp; Incipient"/>
  </r>
  <r>
    <d v="2004-09-11T00:00:00"/>
    <x v="12"/>
    <s v="S"/>
    <x v="0"/>
    <s v="PA38"/>
    <x v="37"/>
    <x v="19"/>
    <s v="PUT"/>
    <s v="EGKA"/>
    <x v="0"/>
    <d v="1899-12-30T09:50:00"/>
    <d v="1899-12-30T10:40:00"/>
    <d v="1899-12-30T00:00:00"/>
    <d v="1899-12-30T00:50:00"/>
    <d v="1899-12-30T00:00:00"/>
    <d v="1899-12-30T00:00:00"/>
    <m/>
    <m/>
    <m/>
    <m/>
    <m/>
    <m/>
    <m/>
    <d v="1899-12-30T00:50:00"/>
    <s v="FIC Ex 12, 13 Give back 3+1 inc glide &amp; Flapless"/>
  </r>
  <r>
    <d v="2004-09-11T00:00:00"/>
    <x v="1"/>
    <s v="S"/>
    <x v="0"/>
    <s v="PA28"/>
    <x v="27"/>
    <x v="19"/>
    <s v="PUT"/>
    <s v="EGKA"/>
    <x v="0"/>
    <d v="1899-12-30T14:30:00"/>
    <d v="1899-12-30T15:25:00"/>
    <d v="1899-12-30T00:00:00"/>
    <d v="1899-12-30T00:55:00"/>
    <d v="1899-12-30T00:00:00"/>
    <d v="1899-12-30T00:00:00"/>
    <m/>
    <m/>
    <m/>
    <m/>
    <m/>
    <m/>
    <m/>
    <d v="1899-12-30T00:55:00"/>
    <s v="FIC Ex 17, 18b Give and Give back"/>
  </r>
  <r>
    <d v="2004-09-12T00:00:00"/>
    <x v="1"/>
    <s v="S"/>
    <x v="0"/>
    <s v="PA28"/>
    <x v="26"/>
    <x v="19"/>
    <s v="PUT"/>
    <s v="EGKA"/>
    <x v="0"/>
    <d v="1899-12-30T09:30:00"/>
    <d v="1899-12-30T11:00:00"/>
    <d v="1899-12-30T00:00:00"/>
    <d v="1899-12-30T01:30:00"/>
    <d v="1899-12-30T00:00:00"/>
    <d v="1899-12-30T00:00:00"/>
    <m/>
    <m/>
    <m/>
    <m/>
    <m/>
    <m/>
    <m/>
    <d v="1899-12-30T01:30:00"/>
    <s v="FIC Ex 16.1 Give and Give Back, PFL RW 25"/>
  </r>
  <r>
    <d v="2004-09-12T00:00:00"/>
    <x v="1"/>
    <s v="S"/>
    <x v="0"/>
    <s v="PA28"/>
    <x v="26"/>
    <x v="4"/>
    <s v="P1"/>
    <s v="EGKA"/>
    <x v="0"/>
    <d v="1899-12-30T12:25:00"/>
    <d v="1899-12-30T13:40:00"/>
    <d v="1899-12-30T01:15:00"/>
    <d v="1899-12-30T00:00:00"/>
    <d v="1899-12-30T00:00:00"/>
    <d v="1899-12-30T00:00:00"/>
    <m/>
    <m/>
    <m/>
    <m/>
    <m/>
    <m/>
    <m/>
    <d v="1899-12-30T01:15:00"/>
    <s v="FIC Ex 16.1 Give to Heather"/>
  </r>
  <r>
    <d v="2004-09-26T00:00:00"/>
    <x v="1"/>
    <s v="S"/>
    <x v="0"/>
    <s v="PA28"/>
    <x v="26"/>
    <x v="19"/>
    <s v="PUT"/>
    <s v="EGKA"/>
    <x v="0"/>
    <d v="1899-12-30T09:35:00"/>
    <d v="1899-12-30T10:55:00"/>
    <d v="1899-12-30T00:00:00"/>
    <d v="1899-12-30T01:20:00"/>
    <d v="1899-12-30T00:00:00"/>
    <d v="1899-12-30T00:00:00"/>
    <m/>
    <m/>
    <m/>
    <m/>
    <m/>
    <m/>
    <m/>
    <d v="1899-12-30T01:20:00"/>
    <s v="FIC Ex 19 Give &amp; Give back, Ex 18c"/>
  </r>
  <r>
    <d v="2004-09-26T00:00:00"/>
    <x v="1"/>
    <s v="S"/>
    <x v="0"/>
    <s v="PA28"/>
    <x v="26"/>
    <x v="19"/>
    <s v="PUT"/>
    <s v="EGKA"/>
    <x v="0"/>
    <d v="1899-12-30T13:00:00"/>
    <d v="1899-12-30T13:50:00"/>
    <d v="1899-12-30T00:00:00"/>
    <d v="1899-12-30T00:50:00"/>
    <d v="1899-12-30T00:00:00"/>
    <d v="1899-12-30T00:00:00"/>
    <m/>
    <m/>
    <m/>
    <m/>
    <m/>
    <m/>
    <m/>
    <d v="1899-12-30T00:50:00"/>
    <s v="FIC Ex 6.1 Give back"/>
  </r>
  <r>
    <d v="2004-09-26T00:00:00"/>
    <x v="1"/>
    <s v="S"/>
    <x v="0"/>
    <s v="PA28"/>
    <x v="26"/>
    <x v="4"/>
    <s v="P1"/>
    <s v="EGKA"/>
    <x v="0"/>
    <d v="1899-12-30T15:25:00"/>
    <d v="1899-12-30T16:20:00"/>
    <d v="1899-12-30T00:55:00"/>
    <d v="1899-12-30T00:00:00"/>
    <d v="1899-12-30T00:00:00"/>
    <d v="1899-12-30T00:00:00"/>
    <m/>
    <m/>
    <m/>
    <m/>
    <m/>
    <m/>
    <m/>
    <d v="1899-12-30T00:55:00"/>
    <s v="FIC Ex 4.1/19 Give back Heather Mutual"/>
  </r>
  <r>
    <d v="2004-10-02T00:00:00"/>
    <x v="14"/>
    <s v="S"/>
    <x v="0"/>
    <s v="C172"/>
    <x v="39"/>
    <x v="19"/>
    <s v="PUT"/>
    <s v="EGKA"/>
    <x v="0"/>
    <d v="1899-12-30T13:55:00"/>
    <d v="1899-12-30T14:45:00"/>
    <d v="1899-12-30T00:00:00"/>
    <d v="1899-12-30T00:50:00"/>
    <d v="1899-12-30T00:00:00"/>
    <d v="1899-12-30T00:00:00"/>
    <m/>
    <m/>
    <m/>
    <m/>
    <m/>
    <m/>
    <m/>
    <d v="1899-12-30T00:50:00"/>
    <s v="FIC Ex 6.2 Give back"/>
  </r>
  <r>
    <d v="2004-10-09T00:00:00"/>
    <x v="12"/>
    <s v="S"/>
    <x v="0"/>
    <s v="PA38"/>
    <x v="37"/>
    <x v="19"/>
    <s v="PUT"/>
    <s v="EGKA"/>
    <x v="0"/>
    <d v="1899-12-30T14:25:00"/>
    <d v="1899-12-30T15:45:00"/>
    <d v="1899-12-30T00:00:00"/>
    <d v="1899-12-30T01:20:00"/>
    <d v="1899-12-30T00:00:00"/>
    <d v="1899-12-30T00:00:00"/>
    <m/>
    <m/>
    <m/>
    <m/>
    <m/>
    <m/>
    <m/>
    <d v="1899-12-30T01:20:00"/>
    <s v="FIC Ex 10b1 give back + spinning"/>
  </r>
  <r>
    <d v="2004-10-10T00:00:00"/>
    <x v="1"/>
    <s v="S"/>
    <x v="0"/>
    <s v="PA28"/>
    <x v="26"/>
    <x v="19"/>
    <s v="PUT"/>
    <s v="EGKA"/>
    <x v="2"/>
    <d v="1899-12-30T09:00:00"/>
    <d v="1899-12-30T10:15:00"/>
    <d v="1899-12-30T00:00:00"/>
    <d v="1899-12-30T01:15:00"/>
    <d v="1899-12-30T00:00:00"/>
    <d v="1899-12-30T00:00:00"/>
    <m/>
    <m/>
    <m/>
    <m/>
    <m/>
    <m/>
    <m/>
    <d v="1899-12-30T01:15:00"/>
    <s v="FIC Ex 18a, b Navex Paddock Wood, Faversham"/>
  </r>
  <r>
    <d v="2004-10-10T00:00:00"/>
    <x v="1"/>
    <s v="S"/>
    <x v="0"/>
    <s v="PA28"/>
    <x v="26"/>
    <x v="19"/>
    <s v="PUT"/>
    <s v="EGMD"/>
    <x v="0"/>
    <d v="1899-12-30T10:50:00"/>
    <d v="1899-12-30T11:25:00"/>
    <d v="1899-12-30T00:00:00"/>
    <d v="1899-12-30T00:35:00"/>
    <d v="1899-12-30T00:00:00"/>
    <d v="1899-12-30T00:00:00"/>
    <m/>
    <m/>
    <m/>
    <m/>
    <m/>
    <m/>
    <m/>
    <d v="1899-12-30T00:35:00"/>
    <s v="FIC Ex 10a"/>
  </r>
  <r>
    <d v="2004-10-10T00:00:00"/>
    <x v="12"/>
    <s v="S"/>
    <x v="0"/>
    <s v="PA38"/>
    <x v="37"/>
    <x v="4"/>
    <s v="P1"/>
    <s v="EGKA"/>
    <x v="0"/>
    <d v="1899-12-30T14:25:00"/>
    <d v="1899-12-30T15:05:00"/>
    <d v="1899-12-30T00:40:00"/>
    <d v="1899-12-30T00:00:00"/>
    <d v="1899-12-30T00:00:00"/>
    <d v="1899-12-30T00:00:00"/>
    <m/>
    <m/>
    <m/>
    <m/>
    <m/>
    <m/>
    <m/>
    <d v="1899-12-30T00:40:00"/>
    <s v="FIC Spinning Signed"/>
  </r>
  <r>
    <d v="2004-10-16T00:00:00"/>
    <x v="13"/>
    <s v="S"/>
    <x v="0"/>
    <s v="T67C"/>
    <x v="38"/>
    <x v="19"/>
    <s v="PUT"/>
    <s v="EGKA"/>
    <x v="0"/>
    <d v="1899-12-30T08:35:00"/>
    <d v="1899-12-30T09:50:00"/>
    <d v="1899-12-30T00:00:00"/>
    <d v="1899-12-30T01:15:00"/>
    <d v="1899-12-30T00:00:00"/>
    <d v="1899-12-30T00:00:00"/>
    <m/>
    <m/>
    <m/>
    <m/>
    <m/>
    <m/>
    <m/>
    <d v="1899-12-30T01:15:00"/>
    <s v="FIC Ex 9 Give back, PFL, Efato"/>
  </r>
  <r>
    <d v="2004-10-17T00:00:00"/>
    <x v="1"/>
    <s v="S"/>
    <x v="0"/>
    <s v="PA28"/>
    <x v="26"/>
    <x v="4"/>
    <s v="P1"/>
    <s v="EGKA"/>
    <x v="0"/>
    <d v="1899-12-30T13:40:00"/>
    <d v="1899-12-30T15:15:00"/>
    <d v="1899-12-30T01:35:00"/>
    <d v="1899-12-30T00:00:00"/>
    <d v="1899-12-30T00:00:00"/>
    <d v="1899-12-30T00:00:00"/>
    <m/>
    <m/>
    <m/>
    <m/>
    <m/>
    <m/>
    <m/>
    <d v="1899-12-30T01:35:00"/>
    <s v="FIC Test - Pooley Pass!!"/>
  </r>
  <r>
    <d v="2004-10-24T00:00:00"/>
    <x v="1"/>
    <s v="S"/>
    <x v="0"/>
    <s v="PA28"/>
    <x v="26"/>
    <x v="19"/>
    <s v="PUT"/>
    <s v="EGKA"/>
    <x v="0"/>
    <d v="1899-12-30T12:30:00"/>
    <d v="1899-12-30T13:20:00"/>
    <d v="1899-12-30T00:00:00"/>
    <d v="1899-12-30T00:50:00"/>
    <d v="1899-12-30T00:00:00"/>
    <d v="1899-12-30T00:00:00"/>
    <m/>
    <m/>
    <m/>
    <m/>
    <m/>
    <m/>
    <m/>
    <d v="1899-12-30T00:50:00"/>
    <s v="FIC PFLS"/>
  </r>
  <r>
    <d v="2004-10-31T00:00:00"/>
    <x v="3"/>
    <s v="S"/>
    <x v="0"/>
    <s v="PA28-235"/>
    <x v="13"/>
    <x v="4"/>
    <s v="P1"/>
    <s v="EGKA"/>
    <x v="14"/>
    <d v="1899-12-30T10:20:00"/>
    <d v="1899-12-30T11:25:00"/>
    <d v="1899-12-30T01:05:00"/>
    <d v="1899-12-30T00:00:00"/>
    <d v="1899-12-30T00:00:00"/>
    <d v="1899-12-30T00:00:00"/>
    <m/>
    <m/>
    <m/>
    <m/>
    <n v="0.3"/>
    <m/>
    <m/>
    <d v="1899-12-30T01:05:00"/>
    <m/>
  </r>
  <r>
    <d v="2004-10-31T00:00:00"/>
    <x v="3"/>
    <s v="S"/>
    <x v="0"/>
    <s v="PA28-235"/>
    <x v="13"/>
    <x v="4"/>
    <s v="P1"/>
    <s v="LFAT"/>
    <x v="0"/>
    <d v="1899-12-30T16:45:00"/>
    <d v="1899-12-30T17:55:00"/>
    <d v="1899-12-30T01:10:00"/>
    <d v="1899-12-30T00:00:00"/>
    <d v="1899-12-30T00:00:00"/>
    <d v="1899-12-30T00:00:00"/>
    <m/>
    <m/>
    <m/>
    <m/>
    <n v="0.3"/>
    <m/>
    <m/>
    <d v="1899-12-30T01:10:00"/>
    <m/>
  </r>
  <r>
    <d v="2004-11-06T00:00:00"/>
    <x v="6"/>
    <s v="S"/>
    <x v="0"/>
    <s v="DHC-1"/>
    <x v="33"/>
    <x v="17"/>
    <s v="PUT"/>
    <s v="EGKA"/>
    <x v="4"/>
    <d v="1899-12-30T10:20:00"/>
    <d v="1899-12-30T11:15:00"/>
    <d v="1899-12-30T00:00:00"/>
    <d v="1899-12-30T00:55:00"/>
    <d v="1899-12-30T00:00:00"/>
    <d v="1899-12-30T00:00:00"/>
    <m/>
    <m/>
    <m/>
    <m/>
    <m/>
    <m/>
    <m/>
    <d v="1899-12-30T00:55:00"/>
    <s v="4+1"/>
  </r>
  <r>
    <d v="2004-11-06T00:00:00"/>
    <x v="6"/>
    <s v="S"/>
    <x v="0"/>
    <s v="DHC-1"/>
    <x v="33"/>
    <x v="17"/>
    <s v="PUT"/>
    <s v="EGHR"/>
    <x v="0"/>
    <d v="1899-12-30T11:15:00"/>
    <d v="1899-12-30T11:35:00"/>
    <d v="1899-12-30T00:00:00"/>
    <d v="1899-12-30T00:20:00"/>
    <d v="1899-12-30T00:00:00"/>
    <d v="1899-12-30T00:00:00"/>
    <m/>
    <m/>
    <m/>
    <m/>
    <m/>
    <m/>
    <m/>
    <d v="1899-12-30T00:20:00"/>
    <m/>
  </r>
  <r>
    <d v="2004-11-07T00:00:00"/>
    <x v="1"/>
    <s v="S"/>
    <x v="0"/>
    <s v="PA28"/>
    <x v="12"/>
    <x v="4"/>
    <s v="P1"/>
    <s v="EGKA"/>
    <x v="34"/>
    <d v="1899-12-30T11:19:00"/>
    <d v="1899-12-30T12:50:00"/>
    <d v="1899-12-30T01:31:00"/>
    <d v="1899-12-30T00:00:00"/>
    <d v="1899-12-30T00:00:00"/>
    <d v="1899-12-30T00:00:00"/>
    <m/>
    <m/>
    <m/>
    <m/>
    <m/>
    <m/>
    <m/>
    <d v="1899-12-30T01:31:00"/>
    <m/>
  </r>
  <r>
    <d v="2004-11-07T00:00:00"/>
    <x v="1"/>
    <s v="S"/>
    <x v="0"/>
    <s v="PA28"/>
    <x v="12"/>
    <x v="4"/>
    <s v="P1"/>
    <s v="EGBE"/>
    <x v="0"/>
    <d v="1899-12-30T14:57:00"/>
    <d v="1899-12-30T16:25:00"/>
    <d v="1899-12-30T01:28:00"/>
    <d v="1899-12-30T00:00:00"/>
    <d v="1899-12-30T00:00:00"/>
    <d v="1899-12-30T00:00:00"/>
    <m/>
    <m/>
    <m/>
    <m/>
    <m/>
    <m/>
    <m/>
    <d v="1899-12-30T01:28:00"/>
    <m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2005-01-15T00:00:00"/>
    <x v="10"/>
    <s v="T"/>
    <x v="2"/>
    <s v="PA23"/>
    <x v="31"/>
    <x v="4"/>
    <s v="P1"/>
    <s v="EGKA"/>
    <x v="24"/>
    <d v="1899-12-30T13:40:00"/>
    <d v="1899-12-30T15:10:00"/>
    <d v="1899-12-30T00:00:00"/>
    <d v="1899-12-30T00:00:00"/>
    <d v="1899-12-30T01:30:00"/>
    <d v="1899-12-30T00:00:00"/>
    <m/>
    <m/>
    <m/>
    <m/>
    <m/>
    <m/>
    <m/>
    <d v="1899-12-30T01:30:00"/>
    <s v="MEP Renewal - Signed, Terry"/>
  </r>
  <r>
    <d v="2005-01-16T00:00:00"/>
    <x v="10"/>
    <s v="T"/>
    <x v="2"/>
    <s v="PA23"/>
    <x v="31"/>
    <x v="4"/>
    <s v="P1"/>
    <s v="LFOP"/>
    <x v="0"/>
    <d v="1899-12-30T10:00:00"/>
    <d v="1899-12-30T11:00:00"/>
    <d v="1899-12-30T00:00:00"/>
    <d v="1899-12-30T00:00:00"/>
    <d v="1899-12-30T01:00:00"/>
    <d v="1899-12-30T00:00:00"/>
    <m/>
    <m/>
    <m/>
    <m/>
    <n v="0.2"/>
    <m/>
    <m/>
    <d v="1899-12-30T01:00:00"/>
    <s v="IFR Departure, Fog @ Rouen"/>
  </r>
  <r>
    <d v="2005-01-22T00:00:00"/>
    <x v="1"/>
    <s v="S"/>
    <x v="0"/>
    <s v="PA28"/>
    <x v="40"/>
    <x v="4"/>
    <s v="P1"/>
    <s v="EGKA"/>
    <x v="0"/>
    <d v="1899-12-30T15:02:00"/>
    <d v="1899-12-30T16:09:00"/>
    <d v="1899-12-30T01:07:00"/>
    <d v="1899-12-30T00:00:00"/>
    <d v="1899-12-30T00:00:00"/>
    <d v="1899-12-30T00:00:00"/>
    <m/>
    <m/>
    <m/>
    <m/>
    <m/>
    <d v="1899-12-30T01:07:00"/>
    <m/>
    <d v="1899-12-30T01:07:00"/>
    <s v="I - Ex 4.1 A Warden"/>
  </r>
  <r>
    <d v="2005-01-27T00:00:00"/>
    <x v="10"/>
    <s v="T"/>
    <x v="2"/>
    <s v="PA23"/>
    <x v="31"/>
    <x v="4"/>
    <s v="P1"/>
    <s v="EGKA"/>
    <x v="42"/>
    <d v="1899-12-30T15:22:00"/>
    <d v="1899-12-30T17:32:00"/>
    <d v="1899-12-30T00:00:00"/>
    <d v="1899-12-30T00:00:00"/>
    <d v="1899-12-30T01:45:00"/>
    <d v="1899-12-30T00:00:00"/>
    <m/>
    <m/>
    <d v="1899-12-30T00:25:00"/>
    <m/>
    <n v="0.5"/>
    <m/>
    <m/>
    <d v="1899-12-30T02:10:00"/>
    <s v="Airways + ILS"/>
  </r>
  <r>
    <d v="2005-01-28T00:00:00"/>
    <x v="10"/>
    <s v="T"/>
    <x v="2"/>
    <s v="PA23"/>
    <x v="31"/>
    <x v="4"/>
    <s v="P1"/>
    <s v="EGNM"/>
    <x v="16"/>
    <d v="1899-12-30T08:25:00"/>
    <d v="1899-12-30T09:20:00"/>
    <d v="1899-12-30T00:00:00"/>
    <d v="1899-12-30T00:00:00"/>
    <d v="1899-12-30T00:55:00"/>
    <d v="1899-12-30T00:00:00"/>
    <m/>
    <m/>
    <m/>
    <m/>
    <m/>
    <m/>
    <m/>
    <d v="1899-12-30T00:55:00"/>
    <m/>
  </r>
  <r>
    <d v="2005-01-29T00:00:00"/>
    <x v="10"/>
    <s v="T"/>
    <x v="2"/>
    <s v="PA23"/>
    <x v="31"/>
    <x v="4"/>
    <s v="P1"/>
    <s v="EGNT"/>
    <x v="0"/>
    <d v="1899-12-30T11:42:00"/>
    <d v="1899-12-30T13:48:00"/>
    <d v="1899-12-30T00:00:00"/>
    <d v="1899-12-30T00:00:00"/>
    <d v="1899-12-30T02:06:00"/>
    <d v="1899-12-30T00:00:00"/>
    <m/>
    <m/>
    <m/>
    <m/>
    <n v="1.4"/>
    <m/>
    <m/>
    <d v="1899-12-30T02:06:00"/>
    <s v="Icing!!!"/>
  </r>
  <r>
    <d v="2005-03-25T00:00:00"/>
    <x v="10"/>
    <s v="T"/>
    <x v="2"/>
    <s v="PA23"/>
    <x v="31"/>
    <x v="4"/>
    <s v="P1"/>
    <s v="EGKA"/>
    <x v="30"/>
    <d v="1899-12-30T08:40:00"/>
    <d v="1899-12-30T09:55:00"/>
    <d v="1899-12-30T00:00:00"/>
    <d v="1899-12-30T00:00:00"/>
    <d v="1899-12-30T01:15:00"/>
    <d v="1899-12-30T00:00:00"/>
    <m/>
    <m/>
    <m/>
    <m/>
    <m/>
    <m/>
    <m/>
    <d v="1899-12-30T01:15:00"/>
    <s v="Pick Up Chris"/>
  </r>
  <r>
    <d v="2005-03-25T00:00:00"/>
    <x v="10"/>
    <s v="T"/>
    <x v="2"/>
    <s v="PA23"/>
    <x v="31"/>
    <x v="4"/>
    <s v="P1"/>
    <s v="EGFF"/>
    <x v="43"/>
    <d v="1899-12-30T10:30:00"/>
    <d v="1899-12-30T14:40:00"/>
    <d v="1899-12-30T00:00:00"/>
    <d v="1899-12-30T00:00:00"/>
    <d v="1899-12-30T04:10:00"/>
    <d v="1899-12-30T00:00:00"/>
    <m/>
    <m/>
    <m/>
    <m/>
    <m/>
    <m/>
    <m/>
    <d v="1899-12-30T04:10:00"/>
    <s v="Via Channel Islands"/>
  </r>
  <r>
    <d v="2005-04-02T00:00:00"/>
    <x v="10"/>
    <s v="T"/>
    <x v="2"/>
    <s v="PA23"/>
    <x v="31"/>
    <x v="4"/>
    <s v="P1"/>
    <s v="LFLP"/>
    <x v="30"/>
    <d v="1899-12-30T11:55:00"/>
    <d v="1899-12-30T15:35:00"/>
    <d v="1899-12-30T00:00:00"/>
    <d v="1899-12-30T00:00:00"/>
    <d v="1899-12-30T03:40:00"/>
    <d v="1899-12-30T00:00:00"/>
    <m/>
    <m/>
    <m/>
    <m/>
    <m/>
    <m/>
    <m/>
    <d v="1899-12-30T03:40:00"/>
    <s v="Transponder &amp; Gear left down!!  Reroute via GWC and SAM"/>
  </r>
  <r>
    <d v="2005-04-02T00:00:00"/>
    <x v="10"/>
    <s v="T"/>
    <x v="2"/>
    <s v="PA23"/>
    <x v="31"/>
    <x v="4"/>
    <s v="P1"/>
    <s v="EGFF"/>
    <x v="0"/>
    <d v="1899-12-30T16:10:00"/>
    <d v="1899-12-30T17:25:00"/>
    <d v="1899-12-30T00:00:00"/>
    <d v="1899-12-30T00:00:00"/>
    <d v="1899-12-30T01:15:00"/>
    <d v="1899-12-30T00:00:00"/>
    <m/>
    <m/>
    <m/>
    <m/>
    <m/>
    <m/>
    <m/>
    <d v="1899-12-30T01:15:00"/>
    <m/>
  </r>
  <r>
    <d v="2005-05-06T00:00:00"/>
    <x v="1"/>
    <s v="S"/>
    <x v="0"/>
    <s v="PA28"/>
    <x v="12"/>
    <x v="4"/>
    <s v="P1"/>
    <s v="EGKA"/>
    <x v="0"/>
    <d v="1899-12-30T14:40:00"/>
    <d v="1899-12-30T15:10:00"/>
    <d v="1899-12-30T00:30:00"/>
    <d v="1899-12-30T00:00:00"/>
    <d v="1899-12-30T00:00:00"/>
    <d v="1899-12-30T00:00:00"/>
    <m/>
    <m/>
    <m/>
    <m/>
    <m/>
    <m/>
    <m/>
    <d v="1899-12-30T00:30:00"/>
    <s v="2+1"/>
  </r>
  <r>
    <d v="2005-05-06T00:00:00"/>
    <x v="1"/>
    <s v="S"/>
    <x v="0"/>
    <s v="PA28"/>
    <x v="12"/>
    <x v="4"/>
    <s v="P1"/>
    <s v="EGKA"/>
    <x v="0"/>
    <d v="1899-12-30T15:18:00"/>
    <d v="1899-12-30T16:35:00"/>
    <d v="1899-12-30T01:17:00"/>
    <d v="1899-12-30T00:00:00"/>
    <d v="1899-12-30T00:00:00"/>
    <d v="1899-12-30T00:00:00"/>
    <m/>
    <m/>
    <m/>
    <m/>
    <m/>
    <m/>
    <m/>
    <d v="1899-12-30T01:17:00"/>
    <s v="Check ride with Heather"/>
  </r>
  <r>
    <d v="2005-06-04T00:00:00"/>
    <x v="15"/>
    <s v="T"/>
    <x v="2"/>
    <s v="BE76"/>
    <x v="41"/>
    <x v="21"/>
    <s v="PUT"/>
    <s v="EGKA"/>
    <x v="0"/>
    <d v="1899-12-30T12:30:00"/>
    <d v="1899-12-30T13:50:00"/>
    <d v="1899-12-30T00:00:00"/>
    <d v="1899-12-30T00:00:00"/>
    <d v="1899-12-30T00:00:00"/>
    <d v="1899-12-30T01:20:00"/>
    <m/>
    <m/>
    <m/>
    <m/>
    <m/>
    <m/>
    <m/>
    <d v="1899-12-30T01:20:00"/>
    <s v="Check flight"/>
  </r>
  <r>
    <d v="2005-06-05T00:00:00"/>
    <x v="15"/>
    <s v="T"/>
    <x v="2"/>
    <s v="BE76"/>
    <x v="41"/>
    <x v="21"/>
    <s v="PUT"/>
    <s v="EGKA"/>
    <x v="2"/>
    <d v="1899-12-30T11:10:00"/>
    <d v="1899-12-30T11:55:00"/>
    <d v="1899-12-30T00:00:00"/>
    <d v="1899-12-30T00:00:00"/>
    <d v="1899-12-30T00:00:00"/>
    <d v="1899-12-30T00:45:00"/>
    <m/>
    <m/>
    <m/>
    <m/>
    <m/>
    <m/>
    <m/>
    <d v="1899-12-30T00:45:00"/>
    <s v="Check Signed off"/>
  </r>
  <r>
    <d v="2005-06-05T00:00:00"/>
    <x v="15"/>
    <s v="T"/>
    <x v="2"/>
    <s v="BE76"/>
    <x v="41"/>
    <x v="4"/>
    <s v="P1"/>
    <s v="EGMD"/>
    <x v="0"/>
    <d v="1899-12-30T13:15:00"/>
    <d v="1899-12-30T13:55:00"/>
    <d v="1899-12-30T00:00:00"/>
    <d v="1899-12-30T00:00:00"/>
    <d v="1899-12-30T00:40:00"/>
    <d v="1899-12-30T00:00:00"/>
    <m/>
    <m/>
    <m/>
    <m/>
    <m/>
    <m/>
    <m/>
    <d v="1899-12-30T00:40:00"/>
    <m/>
  </r>
  <r>
    <d v="2005-06-11T00:00:00"/>
    <x v="15"/>
    <s v="T"/>
    <x v="2"/>
    <s v="BE76"/>
    <x v="41"/>
    <x v="4"/>
    <s v="P1"/>
    <s v="EGKA"/>
    <x v="15"/>
    <d v="1899-12-30T10:00:00"/>
    <d v="1899-12-30T12:20:00"/>
    <d v="1899-12-30T00:00:00"/>
    <d v="1899-12-30T00:00:00"/>
    <d v="1899-12-30T02:20:00"/>
    <d v="1899-12-30T00:00:00"/>
    <m/>
    <m/>
    <m/>
    <m/>
    <n v="0.5"/>
    <m/>
    <m/>
    <d v="1899-12-30T02:20:00"/>
    <m/>
  </r>
  <r>
    <d v="2005-06-12T00:00:00"/>
    <x v="15"/>
    <s v="T"/>
    <x v="2"/>
    <s v="BE76"/>
    <x v="41"/>
    <x v="4"/>
    <s v="P1"/>
    <s v="EIWT"/>
    <x v="0"/>
    <d v="1899-12-30T12:55:00"/>
    <d v="1899-12-30T15:10:00"/>
    <d v="1899-12-30T00:00:00"/>
    <d v="1899-12-30T00:00:00"/>
    <d v="1899-12-30T02:15:00"/>
    <d v="1899-12-30T00:00:00"/>
    <m/>
    <m/>
    <m/>
    <m/>
    <n v="0.7"/>
    <m/>
    <m/>
    <d v="1899-12-30T02:15:00"/>
    <s v="Airways + 20 App"/>
  </r>
  <r>
    <d v="2005-06-25T00:00:00"/>
    <x v="1"/>
    <s v="S"/>
    <x v="0"/>
    <s v="PA28"/>
    <x v="26"/>
    <x v="4"/>
    <s v="P1"/>
    <s v="LFFK"/>
    <x v="44"/>
    <d v="1899-12-30T09:15:00"/>
    <d v="1899-12-30T10:00:00"/>
    <d v="1899-12-30T00:45:00"/>
    <d v="1899-12-30T00:00:00"/>
    <d v="1899-12-30T00:00:00"/>
    <d v="1899-12-30T00:00:00"/>
    <m/>
    <m/>
    <m/>
    <m/>
    <m/>
    <m/>
    <m/>
    <d v="1899-12-30T00:45:00"/>
    <s v="Aborted trup to Isle de Yeu"/>
  </r>
  <r>
    <d v="2005-06-26T00:00:00"/>
    <x v="1"/>
    <s v="S"/>
    <x v="0"/>
    <s v="PA28"/>
    <x v="26"/>
    <x v="4"/>
    <s v="P1"/>
    <s v="LFRG"/>
    <x v="0"/>
    <d v="1899-12-30T16:40:00"/>
    <d v="1899-12-30T17:50:00"/>
    <d v="1899-12-30T01:10:00"/>
    <d v="1899-12-30T00:00:00"/>
    <d v="1899-12-30T00:00:00"/>
    <d v="1899-12-30T00:00:00"/>
    <m/>
    <m/>
    <m/>
    <m/>
    <m/>
    <d v="1899-12-30T01:10:00"/>
    <m/>
    <d v="1899-12-30T01:10:00"/>
    <s v="I With Dave Lawrence"/>
  </r>
  <r>
    <d v="2005-06-28T00:00:00"/>
    <x v="7"/>
    <s v="T"/>
    <x v="2"/>
    <s v="PA34"/>
    <x v="35"/>
    <x v="4"/>
    <s v="P1"/>
    <s v="LFRG"/>
    <x v="0"/>
    <d v="1899-12-30T12:40:00"/>
    <d v="1899-12-30T13:30:00"/>
    <d v="1899-12-30T00:00:00"/>
    <d v="1899-12-30T00:00:00"/>
    <d v="1899-12-30T00:50:00"/>
    <d v="1899-12-30T00:00:00"/>
    <m/>
    <m/>
    <m/>
    <m/>
    <m/>
    <m/>
    <m/>
    <d v="1899-12-30T00:50:00"/>
    <m/>
  </r>
  <r>
    <d v="2005-06-29T00:00:00"/>
    <x v="6"/>
    <s v="S"/>
    <x v="0"/>
    <s v="DHC-1"/>
    <x v="33"/>
    <x v="18"/>
    <s v="PUT"/>
    <s v="EGKA"/>
    <x v="4"/>
    <d v="1899-12-30T11:10:00"/>
    <d v="1899-12-30T12:10:00"/>
    <d v="1899-12-30T00:00:00"/>
    <d v="1899-12-30T01:00:00"/>
    <d v="1899-12-30T00:00:00"/>
    <d v="1899-12-30T00:00:00"/>
    <m/>
    <m/>
    <m/>
    <m/>
    <m/>
    <m/>
    <m/>
    <d v="1899-12-30T01:00:00"/>
    <s v="6+1"/>
  </r>
  <r>
    <d v="2005-06-29T00:00:00"/>
    <x v="6"/>
    <s v="S"/>
    <x v="0"/>
    <s v="DHC-1"/>
    <x v="33"/>
    <x v="18"/>
    <s v="PUT"/>
    <s v="EGHR"/>
    <x v="0"/>
    <d v="1899-12-30T12:10:00"/>
    <d v="1899-12-30T12:30:00"/>
    <d v="1899-12-30T00:00:00"/>
    <d v="1899-12-30T00:20:00"/>
    <d v="1899-12-30T00:00:00"/>
    <d v="1899-12-30T00:00:00"/>
    <m/>
    <m/>
    <m/>
    <m/>
    <m/>
    <m/>
    <m/>
    <d v="1899-12-30T00:20:00"/>
    <m/>
  </r>
  <r>
    <d v="2005-07-02T00:00:00"/>
    <x v="6"/>
    <s v="S"/>
    <x v="0"/>
    <s v="DHC-1"/>
    <x v="33"/>
    <x v="18"/>
    <s v="PUT"/>
    <s v="EGKA"/>
    <x v="4"/>
    <d v="1899-12-30T12:03:00"/>
    <d v="1899-12-30T13:00:00"/>
    <d v="1899-12-30T00:00:00"/>
    <d v="1899-12-30T00:57:00"/>
    <d v="1899-12-30T00:00:00"/>
    <d v="1899-12-30T00:00:00"/>
    <m/>
    <m/>
    <m/>
    <m/>
    <m/>
    <m/>
    <m/>
    <d v="1899-12-30T00:57:00"/>
    <s v="6+1"/>
  </r>
  <r>
    <d v="2005-07-02T00:00:00"/>
    <x v="6"/>
    <s v="S"/>
    <x v="0"/>
    <s v="DHC-1"/>
    <x v="33"/>
    <x v="18"/>
    <s v="PUT"/>
    <s v="EGHR"/>
    <x v="0"/>
    <d v="1899-12-30T13:00:00"/>
    <d v="1899-12-30T13:18:00"/>
    <d v="1899-12-30T00:00:00"/>
    <d v="1899-12-30T00:18:00"/>
    <d v="1899-12-30T00:00:00"/>
    <d v="1899-12-30T00:00:00"/>
    <m/>
    <m/>
    <m/>
    <m/>
    <m/>
    <m/>
    <m/>
    <d v="1899-12-30T00:18:00"/>
    <m/>
  </r>
  <r>
    <d v="2005-07-12T00:00:00"/>
    <x v="7"/>
    <s v="T"/>
    <x v="2"/>
    <s v="PA34"/>
    <x v="36"/>
    <x v="22"/>
    <s v="PUT"/>
    <s v="EGUS"/>
    <x v="33"/>
    <d v="1899-12-30T07:50:00"/>
    <d v="1899-12-30T09:40:00"/>
    <d v="1899-12-30T00:00:00"/>
    <d v="1899-12-30T00:00:00"/>
    <d v="1899-12-30T00:00:00"/>
    <d v="1899-12-30T01:50:00"/>
    <m/>
    <m/>
    <m/>
    <m/>
    <n v="1.5"/>
    <m/>
    <m/>
    <d v="1899-12-30T01:50:00"/>
    <s v="Thred Bia ILS NDB GH, PP"/>
  </r>
  <r>
    <d v="2005-07-12T00:00:00"/>
    <x v="7"/>
    <s v="T"/>
    <x v="2"/>
    <s v="PA34"/>
    <x v="36"/>
    <x v="22"/>
    <s v="PUT"/>
    <s v="EGUS"/>
    <x v="33"/>
    <d v="1899-12-30T11:05:00"/>
    <d v="1899-12-30T12:40:00"/>
    <d v="1899-12-30T00:00:00"/>
    <d v="1899-12-30T00:00:00"/>
    <d v="1899-12-30T00:00:00"/>
    <d v="1899-12-30T01:35:00"/>
    <m/>
    <m/>
    <m/>
    <m/>
    <n v="1.1000000000000001"/>
    <m/>
    <m/>
    <d v="1899-12-30T01:35:00"/>
    <s v="As above no PP"/>
  </r>
  <r>
    <d v="2005-07-15T00:00:00"/>
    <x v="6"/>
    <s v="S"/>
    <x v="0"/>
    <s v="DHC-1"/>
    <x v="33"/>
    <x v="18"/>
    <s v="PUT"/>
    <s v="EGKA"/>
    <x v="4"/>
    <d v="1899-12-30T13:15:00"/>
    <d v="1899-12-30T14:20:00"/>
    <d v="1899-12-30T00:00:00"/>
    <d v="1899-12-30T01:05:00"/>
    <d v="1899-12-30T00:00:00"/>
    <d v="1899-12-30T00:00:00"/>
    <m/>
    <m/>
    <m/>
    <m/>
    <m/>
    <m/>
    <m/>
    <d v="1899-12-30T01:05:00"/>
    <s v="5+1"/>
  </r>
  <r>
    <d v="2005-07-15T00:00:00"/>
    <x v="6"/>
    <s v="S"/>
    <x v="0"/>
    <s v="DHC-1"/>
    <x v="33"/>
    <x v="4"/>
    <s v="P1"/>
    <s v="EGHR"/>
    <x v="4"/>
    <d v="1899-12-30T14:20:00"/>
    <d v="1899-12-30T14:30:00"/>
    <d v="1899-12-30T00:10:00"/>
    <d v="1899-12-30T00:00:00"/>
    <d v="1899-12-30T00:00:00"/>
    <d v="1899-12-30T00:00:00"/>
    <m/>
    <m/>
    <m/>
    <m/>
    <m/>
    <m/>
    <m/>
    <d v="1899-12-30T00:10:00"/>
    <s v="Solo!!"/>
  </r>
  <r>
    <d v="2005-07-15T00:00:00"/>
    <x v="6"/>
    <s v="S"/>
    <x v="0"/>
    <s v="DHC-1"/>
    <x v="33"/>
    <x v="18"/>
    <s v="PUT"/>
    <s v="EGHR"/>
    <x v="0"/>
    <d v="1899-12-30T14:30:00"/>
    <d v="1899-12-30T14:44:00"/>
    <d v="1899-12-30T00:00:00"/>
    <d v="1899-12-30T00:14:00"/>
    <d v="1899-12-30T00:00:00"/>
    <d v="1899-12-30T00:00:00"/>
    <m/>
    <m/>
    <m/>
    <m/>
    <m/>
    <m/>
    <m/>
    <d v="1899-12-30T00:14:00"/>
    <m/>
  </r>
  <r>
    <d v="2005-08-20T00:00:00"/>
    <x v="15"/>
    <s v="T"/>
    <x v="2"/>
    <s v="BE76"/>
    <x v="41"/>
    <x v="4"/>
    <s v="P1"/>
    <s v="EGKA"/>
    <x v="2"/>
    <d v="1899-12-30T09:30:00"/>
    <d v="1899-12-30T10:13:00"/>
    <d v="1899-12-30T00:00:00"/>
    <d v="1899-12-30T00:00:00"/>
    <d v="1899-12-30T00:43:00"/>
    <d v="1899-12-30T00:00:00"/>
    <m/>
    <m/>
    <m/>
    <m/>
    <m/>
    <m/>
    <m/>
    <d v="1899-12-30T00:43:00"/>
    <m/>
  </r>
  <r>
    <d v="2005-08-20T00:00:00"/>
    <x v="15"/>
    <s v="T"/>
    <x v="2"/>
    <s v="BE76"/>
    <x v="41"/>
    <x v="4"/>
    <s v="P1"/>
    <s v="EGMD"/>
    <x v="0"/>
    <d v="1899-12-30T10:38:00"/>
    <d v="1899-12-30T11:16:00"/>
    <d v="1899-12-30T00:00:00"/>
    <d v="1899-12-30T00:00:00"/>
    <d v="1899-12-30T00:38:00"/>
    <d v="1899-12-30T00:00:00"/>
    <m/>
    <m/>
    <m/>
    <m/>
    <m/>
    <m/>
    <m/>
    <d v="1899-12-30T00:38:00"/>
    <m/>
  </r>
  <r>
    <d v="2005-08-20T00:00:00"/>
    <x v="15"/>
    <s v="T"/>
    <x v="2"/>
    <s v="BE76"/>
    <x v="41"/>
    <x v="4"/>
    <s v="P1"/>
    <s v="LFAT"/>
    <x v="45"/>
    <d v="1899-12-30T14:59:00"/>
    <d v="1899-12-30T16:01:00"/>
    <d v="1899-12-30T00:00:00"/>
    <d v="1899-12-30T00:00:00"/>
    <d v="1899-12-30T01:02:00"/>
    <d v="1899-12-30T00:00:00"/>
    <m/>
    <m/>
    <m/>
    <m/>
    <m/>
    <m/>
    <m/>
    <d v="1899-12-30T01:02:00"/>
    <s v="With Mark and Sam"/>
  </r>
  <r>
    <d v="2005-08-21T00:00:00"/>
    <x v="15"/>
    <s v="T"/>
    <x v="2"/>
    <s v="BE76"/>
    <x v="41"/>
    <x v="4"/>
    <s v="P1"/>
    <s v="LFQA"/>
    <x v="14"/>
    <d v="1899-12-30T14:24:00"/>
    <d v="1899-12-30T15:34:00"/>
    <d v="1899-12-30T00:00:00"/>
    <d v="1899-12-30T00:00:00"/>
    <d v="1899-12-30T01:10:00"/>
    <d v="1899-12-30T00:00:00"/>
    <m/>
    <m/>
    <m/>
    <m/>
    <m/>
    <m/>
    <m/>
    <d v="1899-12-30T01:10:00"/>
    <m/>
  </r>
  <r>
    <d v="2005-08-21T00:00:00"/>
    <x v="15"/>
    <s v="T"/>
    <x v="2"/>
    <s v="BE76"/>
    <x v="41"/>
    <x v="4"/>
    <s v="P1"/>
    <s v="LFAT"/>
    <x v="0"/>
    <d v="1899-12-30T15:52:00"/>
    <d v="1899-12-30T16:36:00"/>
    <d v="1899-12-30T00:00:00"/>
    <d v="1899-12-30T00:00:00"/>
    <d v="1899-12-30T00:44:00"/>
    <d v="1899-12-30T00:00:00"/>
    <m/>
    <m/>
    <m/>
    <m/>
    <m/>
    <m/>
    <m/>
    <d v="1899-12-30T00:44:00"/>
    <m/>
  </r>
  <r>
    <d v="2005-08-24T00:00:00"/>
    <x v="11"/>
    <s v="S"/>
    <x v="0"/>
    <s v="PA28R"/>
    <x v="34"/>
    <x v="4"/>
    <s v="P1"/>
    <s v="EGHI"/>
    <x v="31"/>
    <d v="1899-12-30T15:10:00"/>
    <d v="1899-12-30T16:00:00"/>
    <d v="1899-12-30T00:50:00"/>
    <d v="1899-12-30T00:00:00"/>
    <d v="1899-12-30T00:00:00"/>
    <d v="1899-12-30T00:00:00"/>
    <m/>
    <m/>
    <m/>
    <m/>
    <m/>
    <m/>
    <m/>
    <d v="1899-12-30T00:50:00"/>
    <s v="CPL Retake!!!"/>
  </r>
  <r>
    <d v="2005-08-28T00:00:00"/>
    <x v="1"/>
    <s v="S"/>
    <x v="0"/>
    <s v="PA28"/>
    <x v="42"/>
    <x v="4"/>
    <s v="P1"/>
    <s v="EGCV"/>
    <x v="0"/>
    <d v="1899-12-30T16:00:00"/>
    <d v="1899-12-30T17:45:00"/>
    <d v="1899-12-30T01:45:00"/>
    <d v="1899-12-30T00:00:00"/>
    <d v="1899-12-30T00:00:00"/>
    <d v="1899-12-30T00:00:00"/>
    <m/>
    <m/>
    <m/>
    <m/>
    <m/>
    <m/>
    <m/>
    <d v="1899-12-30T01:45:00"/>
    <m/>
  </r>
  <r>
    <d v="2005-09-17T00:00:00"/>
    <x v="15"/>
    <s v="T"/>
    <x v="2"/>
    <s v="BE76"/>
    <x v="41"/>
    <x v="4"/>
    <s v="P1"/>
    <s v="EGKA"/>
    <x v="0"/>
    <d v="1899-12-30T15:17:00"/>
    <d v="1899-12-30T17:12:00"/>
    <d v="1899-12-30T00:00:00"/>
    <d v="1899-12-30T00:00:00"/>
    <d v="1899-12-30T01:55:00"/>
    <d v="1899-12-30T00:00:00"/>
    <m/>
    <m/>
    <m/>
    <m/>
    <m/>
    <m/>
    <m/>
    <d v="1899-12-30T01:55:00"/>
    <s v="Hold &amp; Approaches @ Southend"/>
  </r>
  <r>
    <d v="2005-09-18T00:00:00"/>
    <x v="15"/>
    <s v="T"/>
    <x v="2"/>
    <s v="BE76"/>
    <x v="41"/>
    <x v="4"/>
    <s v="P1"/>
    <s v="EGKA"/>
    <x v="46"/>
    <d v="1899-12-30T11:00:00"/>
    <d v="1899-12-30T12:00:00"/>
    <d v="1899-12-30T00:00:00"/>
    <d v="1899-12-30T00:00:00"/>
    <d v="1899-12-30T01:00:00"/>
    <d v="1899-12-30T00:00:00"/>
    <m/>
    <m/>
    <m/>
    <m/>
    <m/>
    <m/>
    <m/>
    <d v="1899-12-30T01:00:00"/>
    <m/>
  </r>
  <r>
    <d v="2005-09-18T00:00:00"/>
    <x v="15"/>
    <s v="T"/>
    <x v="2"/>
    <s v="BE76"/>
    <x v="41"/>
    <x v="4"/>
    <s v="P1"/>
    <s v="EGWB"/>
    <x v="0"/>
    <d v="1899-12-30T15:02:00"/>
    <d v="1899-12-30T16:00:00"/>
    <d v="1899-12-30T00:00:00"/>
    <d v="1899-12-30T00:00:00"/>
    <d v="1899-12-30T00:58:00"/>
    <d v="1899-12-30T00:00:00"/>
    <m/>
    <m/>
    <m/>
    <m/>
    <m/>
    <m/>
    <m/>
    <d v="1899-12-30T00:58:00"/>
    <m/>
  </r>
  <r>
    <d v="2005-09-20T00:00:00"/>
    <x v="16"/>
    <s v="S"/>
    <x v="0"/>
    <s v="JP5A"/>
    <x v="43"/>
    <x v="23"/>
    <s v="PUT"/>
    <s v="EGSX"/>
    <x v="47"/>
    <d v="1899-12-30T12:00:00"/>
    <d v="1899-12-30T12:55:00"/>
    <d v="1899-12-30T00:00:00"/>
    <d v="1899-12-30T00:55:00"/>
    <d v="1899-12-30T00:00:00"/>
    <d v="1899-12-30T00:00:00"/>
    <m/>
    <m/>
    <m/>
    <m/>
    <m/>
    <m/>
    <m/>
    <d v="1899-12-30T00:55:00"/>
    <s v="Woosh!!!"/>
  </r>
  <r>
    <d v="2005-10-01T00:00:00"/>
    <x v="6"/>
    <s v="S"/>
    <x v="0"/>
    <s v="DHC-1"/>
    <x v="33"/>
    <x v="18"/>
    <s v="PUT"/>
    <s v="EGKA"/>
    <x v="4"/>
    <d v="1899-12-30T09:00:00"/>
    <d v="1899-12-30T09:40:00"/>
    <d v="1899-12-30T00:00:00"/>
    <d v="1899-12-30T00:40:00"/>
    <d v="1899-12-30T00:00:00"/>
    <d v="1899-12-30T00:00:00"/>
    <m/>
    <m/>
    <m/>
    <m/>
    <m/>
    <m/>
    <m/>
    <d v="1899-12-30T00:40:00"/>
    <s v="3+1"/>
  </r>
  <r>
    <d v="2005-10-01T00:00:00"/>
    <x v="6"/>
    <s v="S"/>
    <x v="0"/>
    <s v="DHC-1"/>
    <x v="33"/>
    <x v="4"/>
    <s v="P1"/>
    <s v="EGHR"/>
    <x v="4"/>
    <d v="1899-12-30T09:40:00"/>
    <d v="1899-12-30T10:00:00"/>
    <d v="1899-12-30T00:20:00"/>
    <d v="1899-12-30T00:00:00"/>
    <d v="1899-12-30T00:00:00"/>
    <d v="1899-12-30T00:00:00"/>
    <m/>
    <m/>
    <m/>
    <m/>
    <m/>
    <m/>
    <m/>
    <d v="1899-12-30T00:20:00"/>
    <s v="2+1"/>
  </r>
  <r>
    <d v="2005-10-01T00:00:00"/>
    <x v="6"/>
    <s v="S"/>
    <x v="0"/>
    <s v="DHC-1"/>
    <x v="33"/>
    <x v="18"/>
    <s v="PUT"/>
    <s v="EGHR"/>
    <x v="0"/>
    <d v="1899-12-30T10:00:00"/>
    <d v="1899-12-30T10:30:00"/>
    <d v="1899-12-30T00:00:00"/>
    <d v="1899-12-30T00:30:00"/>
    <d v="1899-12-30T00:00:00"/>
    <d v="1899-12-30T00:00:00"/>
    <m/>
    <m/>
    <m/>
    <m/>
    <m/>
    <m/>
    <m/>
    <d v="1899-12-30T00:30:00"/>
    <m/>
  </r>
  <r>
    <d v="2005-10-01T00:00:00"/>
    <x v="6"/>
    <s v="S"/>
    <x v="0"/>
    <s v="DHC-1"/>
    <x v="33"/>
    <x v="18"/>
    <s v="PUT"/>
    <s v="EGKA"/>
    <x v="0"/>
    <d v="1899-12-30T12:55:00"/>
    <d v="1899-12-30T14:00:00"/>
    <d v="1899-12-30T00:00:00"/>
    <d v="1899-12-30T01:05:00"/>
    <d v="1899-12-30T00:00:00"/>
    <d v="1899-12-30T00:00:00"/>
    <m/>
    <m/>
    <m/>
    <m/>
    <m/>
    <m/>
    <m/>
    <d v="1899-12-30T01:05:00"/>
    <s v="8+1 Xwind 25"/>
  </r>
  <r>
    <d v="2005-10-02T00:00:00"/>
    <x v="6"/>
    <s v="S"/>
    <x v="0"/>
    <s v="DHC-1"/>
    <x v="33"/>
    <x v="18"/>
    <s v="PUT"/>
    <s v="EGKA"/>
    <x v="0"/>
    <d v="1899-12-30T14:50:00"/>
    <d v="1899-12-30T15:50:00"/>
    <d v="1899-12-30T00:00:00"/>
    <d v="1899-12-30T01:00:00"/>
    <d v="1899-12-30T00:00:00"/>
    <d v="1899-12-30T00:00:00"/>
    <m/>
    <m/>
    <m/>
    <m/>
    <m/>
    <m/>
    <m/>
    <d v="1899-12-30T01:00:00"/>
    <s v="Ex 21 Loops &amp; Rolls"/>
  </r>
  <r>
    <d v="2005-10-08T00:00:00"/>
    <x v="6"/>
    <s v="S"/>
    <x v="0"/>
    <s v="DHC-1"/>
    <x v="33"/>
    <x v="18"/>
    <s v="PUT"/>
    <s v="EGKA"/>
    <x v="0"/>
    <d v="1899-12-30T11:45:00"/>
    <d v="1899-12-30T12:50:00"/>
    <d v="1899-12-30T00:00:00"/>
    <d v="1899-12-30T01:05:00"/>
    <d v="1899-12-30T00:00:00"/>
    <d v="1899-12-30T00:00:00"/>
    <m/>
    <m/>
    <m/>
    <m/>
    <m/>
    <m/>
    <m/>
    <d v="1899-12-30T01:05:00"/>
    <s v="7+1 + loop!"/>
  </r>
  <r>
    <d v="2005-10-08T00:00:00"/>
    <x v="6"/>
    <s v="S"/>
    <x v="0"/>
    <s v="DHC-1"/>
    <x v="33"/>
    <x v="18"/>
    <s v="PUT"/>
    <s v="EGKA"/>
    <x v="0"/>
    <d v="1899-12-30T14:35:00"/>
    <d v="1899-12-30T15:45:00"/>
    <d v="1899-12-30T00:00:00"/>
    <d v="1899-12-30T01:10:00"/>
    <d v="1899-12-30T00:00:00"/>
    <d v="1899-12-30T00:00:00"/>
    <m/>
    <m/>
    <m/>
    <m/>
    <m/>
    <m/>
    <m/>
    <d v="1899-12-30T01:10:00"/>
    <s v="Ex 21 Loops &amp; Rolls + Barrel Roll"/>
  </r>
  <r>
    <d v="2005-10-15T00:00:00"/>
    <x v="6"/>
    <s v="S"/>
    <x v="0"/>
    <s v="DHC-1"/>
    <x v="33"/>
    <x v="18"/>
    <s v="PUT"/>
    <s v="EGKA"/>
    <x v="4"/>
    <d v="1899-12-30T13:45:00"/>
    <d v="1899-12-30T14:38:00"/>
    <d v="1899-12-30T00:00:00"/>
    <d v="1899-12-30T00:53:00"/>
    <d v="1899-12-30T00:00:00"/>
    <d v="1899-12-30T00:00:00"/>
    <m/>
    <m/>
    <m/>
    <m/>
    <m/>
    <m/>
    <m/>
    <d v="1899-12-30T00:53:00"/>
    <m/>
  </r>
  <r>
    <d v="2005-10-15T00:00:00"/>
    <x v="6"/>
    <s v="S"/>
    <x v="0"/>
    <s v="DHC-1"/>
    <x v="33"/>
    <x v="18"/>
    <s v="PUT"/>
    <s v="EGHR"/>
    <x v="0"/>
    <d v="1899-12-30T14:38:00"/>
    <d v="1899-12-30T15:15:00"/>
    <d v="1899-12-30T00:00:00"/>
    <d v="1899-12-30T00:37:00"/>
    <d v="1899-12-30T00:00:00"/>
    <d v="1899-12-30T00:00:00"/>
    <m/>
    <m/>
    <m/>
    <m/>
    <m/>
    <m/>
    <m/>
    <d v="1899-12-30T00:37:00"/>
    <m/>
  </r>
  <r>
    <d v="2005-10-16T00:00:00"/>
    <x v="6"/>
    <s v="S"/>
    <x v="0"/>
    <s v="DHC-1"/>
    <x v="33"/>
    <x v="18"/>
    <s v="PUT"/>
    <s v="EGKA"/>
    <x v="4"/>
    <d v="1899-12-30T08:50:00"/>
    <d v="1899-12-30T09:35:00"/>
    <d v="1899-12-30T00:00:00"/>
    <d v="1899-12-30T00:45:00"/>
    <d v="1899-12-30T00:00:00"/>
    <d v="1899-12-30T00:00:00"/>
    <m/>
    <m/>
    <m/>
    <m/>
    <m/>
    <m/>
    <m/>
    <d v="1899-12-30T00:45:00"/>
    <s v="2+1"/>
  </r>
  <r>
    <d v="2005-10-16T00:00:00"/>
    <x v="6"/>
    <s v="S"/>
    <x v="0"/>
    <s v="DHC-1"/>
    <x v="33"/>
    <x v="18"/>
    <s v="PUT"/>
    <s v="EGHR"/>
    <x v="0"/>
    <d v="1899-12-30T09:35:00"/>
    <d v="1899-12-30T10:05:00"/>
    <d v="1899-12-30T00:00:00"/>
    <d v="1899-12-30T00:30:00"/>
    <d v="1899-12-30T00:00:00"/>
    <d v="1899-12-30T00:00:00"/>
    <m/>
    <m/>
    <m/>
    <m/>
    <m/>
    <m/>
    <m/>
    <d v="1899-12-30T00:30:00"/>
    <s v="Ex 21"/>
  </r>
  <r>
    <d v="2005-10-22T00:00:00"/>
    <x v="1"/>
    <s v="S"/>
    <x v="0"/>
    <s v="PA28"/>
    <x v="11"/>
    <x v="4"/>
    <s v="P1"/>
    <s v="EGKA"/>
    <x v="0"/>
    <d v="1899-12-30T10:05:00"/>
    <d v="1899-12-30T11:05:00"/>
    <d v="1899-12-30T01:00:00"/>
    <d v="1899-12-30T00:00:00"/>
    <d v="1899-12-30T00:00:00"/>
    <d v="1899-12-30T00:00:00"/>
    <m/>
    <m/>
    <m/>
    <m/>
    <m/>
    <d v="1899-12-30T01:00:00"/>
    <m/>
    <d v="1899-12-30T01:00:00"/>
    <s v="Chris Bishop Revision"/>
  </r>
  <r>
    <d v="2005-10-22T00:00:00"/>
    <x v="1"/>
    <s v="S"/>
    <x v="0"/>
    <s v="PA28"/>
    <x v="25"/>
    <x v="4"/>
    <s v="P1"/>
    <s v="EGKA"/>
    <x v="0"/>
    <d v="1899-12-30T12:27:00"/>
    <d v="1899-12-30T13:25:00"/>
    <d v="1899-12-30T00:58:00"/>
    <d v="1899-12-30T00:00:00"/>
    <d v="1899-12-30T00:00:00"/>
    <d v="1899-12-30T00:00:00"/>
    <m/>
    <m/>
    <m/>
    <m/>
    <m/>
    <d v="1899-12-30T00:58:00"/>
    <m/>
    <d v="1899-12-30T00:58:00"/>
    <s v="Trial Lesson - Breitling"/>
  </r>
  <r>
    <d v="2005-10-22T00:00:00"/>
    <x v="1"/>
    <s v="S"/>
    <x v="0"/>
    <s v="PA28"/>
    <x v="11"/>
    <x v="4"/>
    <s v="P1"/>
    <s v="EGKA"/>
    <x v="0"/>
    <d v="1899-12-30T14:35:00"/>
    <d v="1899-12-30T15:25:00"/>
    <d v="1899-12-30T00:50:00"/>
    <d v="1899-12-30T00:00:00"/>
    <d v="1899-12-30T00:00:00"/>
    <d v="1899-12-30T00:00:00"/>
    <m/>
    <m/>
    <m/>
    <m/>
    <m/>
    <d v="1899-12-30T00:50:00"/>
    <m/>
    <d v="1899-12-30T00:50:00"/>
    <s v="Dan Nice, Hazelmere, Petersfield"/>
  </r>
  <r>
    <d v="2005-11-05T00:00:00"/>
    <x v="1"/>
    <s v="S"/>
    <x v="0"/>
    <s v="PA28"/>
    <x v="11"/>
    <x v="4"/>
    <s v="P1"/>
    <s v="EGKA"/>
    <x v="0"/>
    <d v="1899-12-30T11:25:00"/>
    <d v="1899-12-30T12:20:00"/>
    <d v="1899-12-30T00:55:00"/>
    <d v="1899-12-30T00:00:00"/>
    <d v="1899-12-30T00:00:00"/>
    <d v="1899-12-30T00:00:00"/>
    <m/>
    <m/>
    <m/>
    <m/>
    <m/>
    <d v="1899-12-30T00:55:00"/>
    <m/>
    <d v="1899-12-30T00:55:00"/>
    <s v="A Balcombe - Revision"/>
  </r>
  <r>
    <d v="2005-11-05T00:00:00"/>
    <x v="1"/>
    <s v="S"/>
    <x v="0"/>
    <s v="PA28"/>
    <x v="11"/>
    <x v="4"/>
    <s v="P1"/>
    <s v="EGKA"/>
    <x v="0"/>
    <d v="1899-12-30T13:20:00"/>
    <d v="1899-12-30T13:55:00"/>
    <d v="1899-12-30T00:35:00"/>
    <d v="1899-12-30T00:00:00"/>
    <d v="1899-12-30T00:00:00"/>
    <d v="1899-12-30T00:00:00"/>
    <m/>
    <m/>
    <m/>
    <m/>
    <m/>
    <d v="1899-12-30T00:35:00"/>
    <m/>
    <d v="1899-12-30T00:35:00"/>
    <s v="J Hapner 6.1, 6.2, 7, 8"/>
  </r>
  <r>
    <d v="2005-11-07T00:00:00"/>
    <x v="15"/>
    <s v="T"/>
    <x v="2"/>
    <s v="BE76"/>
    <x v="41"/>
    <x v="4"/>
    <s v="P1"/>
    <s v="EGKA"/>
    <x v="0"/>
    <d v="1899-12-30T11:10:00"/>
    <d v="1899-12-30T12:02:00"/>
    <d v="1899-12-30T00:00:00"/>
    <d v="1899-12-30T00:00:00"/>
    <d v="1899-12-30T00:52:00"/>
    <d v="1899-12-30T00:00:00"/>
    <m/>
    <m/>
    <m/>
    <m/>
    <m/>
    <m/>
    <m/>
    <d v="1899-12-30T00:52:00"/>
    <s v="Compass Turns"/>
  </r>
  <r>
    <d v="2005-11-07T00:00:00"/>
    <x v="1"/>
    <s v="S"/>
    <x v="0"/>
    <s v="PA28"/>
    <x v="11"/>
    <x v="4"/>
    <s v="P1"/>
    <s v="EGKA"/>
    <x v="0"/>
    <d v="1899-12-30T14:37:00"/>
    <d v="1899-12-30T15:05:00"/>
    <d v="1899-12-30T00:28:00"/>
    <d v="1899-12-30T00:00:00"/>
    <d v="1899-12-30T00:00:00"/>
    <d v="1899-12-30T00:00:00"/>
    <m/>
    <m/>
    <m/>
    <m/>
    <m/>
    <d v="1899-12-30T00:28:00"/>
    <m/>
    <d v="1899-12-30T00:28:00"/>
    <s v="D Nice Ex 12,13 1+1"/>
  </r>
  <r>
    <d v="2005-11-09T00:00:00"/>
    <x v="15"/>
    <s v="T"/>
    <x v="2"/>
    <s v="BE76"/>
    <x v="41"/>
    <x v="4"/>
    <s v="P1"/>
    <s v="EGKA"/>
    <x v="0"/>
    <d v="1899-12-30T11:25:00"/>
    <d v="1899-12-30T13:15:00"/>
    <d v="1899-12-30T00:00:00"/>
    <d v="1899-12-30T00:00:00"/>
    <d v="1899-12-30T01:50:00"/>
    <d v="1899-12-30T00:00:00"/>
    <m/>
    <m/>
    <m/>
    <m/>
    <n v="0.8"/>
    <m/>
    <m/>
    <d v="1899-12-30T01:50:00"/>
    <s v="IMC Practice Southend, NDB + ILS - H Safety"/>
  </r>
  <r>
    <d v="2005-11-10T00:00:00"/>
    <x v="15"/>
    <s v="T"/>
    <x v="2"/>
    <s v="BE76"/>
    <x v="41"/>
    <x v="4"/>
    <s v="P1"/>
    <s v="EGKA"/>
    <x v="0"/>
    <d v="1899-12-30T15:30:00"/>
    <d v="1899-12-30T16:38:00"/>
    <d v="1899-12-30T00:00:00"/>
    <d v="1899-12-30T00:00:00"/>
    <d v="1899-12-30T01:08:00"/>
    <d v="1899-12-30T00:00:00"/>
    <m/>
    <m/>
    <m/>
    <m/>
    <n v="0.9"/>
    <m/>
    <m/>
    <d v="1899-12-30T01:08:00"/>
    <s v="IMC Renewal with Mark - NDB 02 + LLC to 20"/>
  </r>
  <r>
    <d v="2005-11-12T00:00:00"/>
    <x v="6"/>
    <s v="S"/>
    <x v="0"/>
    <s v="DHC-1"/>
    <x v="33"/>
    <x v="18"/>
    <s v="PUT"/>
    <s v="EGKA"/>
    <x v="0"/>
    <d v="1899-12-30T14:00:00"/>
    <d v="1899-12-30T15:00:00"/>
    <d v="1899-12-30T00:00:00"/>
    <d v="1899-12-30T01:00:00"/>
    <d v="1899-12-30T00:00:00"/>
    <d v="1899-12-30T00:00:00"/>
    <m/>
    <m/>
    <m/>
    <m/>
    <m/>
    <m/>
    <m/>
    <d v="1899-12-30T01:00:00"/>
    <s v="5+1"/>
  </r>
  <r>
    <d v="2005-11-19T00:00:00"/>
    <x v="1"/>
    <s v="S"/>
    <x v="0"/>
    <s v="PA28"/>
    <x v="11"/>
    <x v="4"/>
    <s v="P1"/>
    <s v="EGKA"/>
    <x v="2"/>
    <d v="1899-12-30T09:42:00"/>
    <d v="1899-12-30T10:30:00"/>
    <d v="1899-12-30T00:48:00"/>
    <d v="1899-12-30T00:00:00"/>
    <d v="1899-12-30T00:00:00"/>
    <d v="1899-12-30T00:00:00"/>
    <m/>
    <m/>
    <m/>
    <m/>
    <m/>
    <d v="1899-12-30T00:48:00"/>
    <m/>
    <d v="1899-12-30T00:48:00"/>
    <s v="A. Balcombe Ex 18a"/>
  </r>
  <r>
    <d v="2005-11-19T00:00:00"/>
    <x v="1"/>
    <s v="S"/>
    <x v="0"/>
    <s v="PA28"/>
    <x v="11"/>
    <x v="4"/>
    <s v="P1"/>
    <s v="EGMD"/>
    <x v="0"/>
    <d v="1899-12-30T10:43:00"/>
    <d v="1899-12-30T11:30:00"/>
    <d v="1899-12-30T00:47:00"/>
    <d v="1899-12-30T00:00:00"/>
    <d v="1899-12-30T00:00:00"/>
    <d v="1899-12-30T00:00:00"/>
    <m/>
    <m/>
    <m/>
    <m/>
    <m/>
    <d v="1899-12-30T00:47:00"/>
    <m/>
    <d v="1899-12-30T00:47:00"/>
    <s v="A. Balcombe Ex 18a"/>
  </r>
  <r>
    <d v="2005-11-19T00:00:00"/>
    <x v="1"/>
    <s v="S"/>
    <x v="0"/>
    <s v="PA28"/>
    <x v="11"/>
    <x v="4"/>
    <s v="P1"/>
    <s v="EGKA"/>
    <x v="0"/>
    <d v="1899-12-30T11:55:00"/>
    <d v="1899-12-30T13:15:00"/>
    <d v="1899-12-30T01:20:00"/>
    <d v="1899-12-30T00:00:00"/>
    <d v="1899-12-30T00:00:00"/>
    <d v="1899-12-30T00:00:00"/>
    <m/>
    <m/>
    <m/>
    <m/>
    <m/>
    <d v="1899-12-30T01:20:00"/>
    <m/>
    <d v="1899-12-30T01:20:00"/>
    <s v="C. Bishop, Ex 18a, P'Field, Bembridge"/>
  </r>
  <r>
    <d v="2005-11-19T00:00:00"/>
    <x v="1"/>
    <s v="S"/>
    <x v="0"/>
    <s v="PA28"/>
    <x v="11"/>
    <x v="4"/>
    <s v="P1"/>
    <s v="EGKA"/>
    <x v="0"/>
    <d v="1899-12-30T15:59:00"/>
    <d v="1899-12-30T16:33:00"/>
    <d v="1899-12-30T00:34:00"/>
    <d v="1899-12-30T00:00:00"/>
    <d v="1899-12-30T00:00:00"/>
    <d v="1899-12-30T00:00:00"/>
    <m/>
    <m/>
    <m/>
    <m/>
    <m/>
    <d v="1899-12-30T00:34:00"/>
    <m/>
    <d v="1899-12-30T00:34:00"/>
    <s v="J Hapnar, Ex 6.1"/>
  </r>
  <r>
    <d v="2005-11-20T00:00:00"/>
    <x v="15"/>
    <s v="T"/>
    <x v="2"/>
    <s v="BE76"/>
    <x v="41"/>
    <x v="4"/>
    <s v="P1"/>
    <s v="EGKA"/>
    <x v="30"/>
    <d v="1899-12-30T13:06:00"/>
    <d v="1899-12-30T14:24:00"/>
    <d v="1899-12-30T00:00:00"/>
    <d v="1899-12-30T00:00:00"/>
    <d v="1899-12-30T01:18:00"/>
    <d v="1899-12-30T00:00:00"/>
    <m/>
    <m/>
    <m/>
    <m/>
    <m/>
    <m/>
    <m/>
    <d v="1899-12-30T01:18:00"/>
    <m/>
  </r>
  <r>
    <d v="2005-11-20T00:00:00"/>
    <x v="15"/>
    <s v="T"/>
    <x v="2"/>
    <s v="BE76"/>
    <x v="41"/>
    <x v="4"/>
    <s v="P1"/>
    <s v="EGFF"/>
    <x v="0"/>
    <d v="1899-12-30T15:39:00"/>
    <d v="1899-12-30T16:48:00"/>
    <d v="1899-12-30T00:00:00"/>
    <d v="1899-12-30T00:00:00"/>
    <d v="1899-12-30T01:04:00"/>
    <d v="1899-12-30T00:00:00"/>
    <m/>
    <m/>
    <d v="1899-12-30T00:05:00"/>
    <m/>
    <m/>
    <m/>
    <m/>
    <d v="1899-12-30T01:09:00"/>
    <m/>
  </r>
  <r>
    <d v="2005-12-03T00:00:00"/>
    <x v="1"/>
    <s v="S"/>
    <x v="0"/>
    <s v="PA28"/>
    <x v="11"/>
    <x v="4"/>
    <s v="P1"/>
    <s v="EGKA"/>
    <x v="0"/>
    <d v="1899-12-30T10:33:00"/>
    <d v="1899-12-30T11:05:00"/>
    <d v="1899-12-30T00:32:00"/>
    <d v="1899-12-30T00:00:00"/>
    <d v="1899-12-30T00:00:00"/>
    <d v="1899-12-30T00:00:00"/>
    <m/>
    <m/>
    <m/>
    <m/>
    <m/>
    <d v="1899-12-30T00:32:00"/>
    <m/>
    <d v="1899-12-30T00:32:00"/>
    <s v="A Balcombe - Abandoned Blackbushe"/>
  </r>
  <r>
    <d v="2005-12-10T00:00:00"/>
    <x v="6"/>
    <s v="S"/>
    <x v="0"/>
    <s v="DHC-1"/>
    <x v="33"/>
    <x v="18"/>
    <s v="PUT"/>
    <s v="EGKA"/>
    <x v="0"/>
    <d v="1899-12-30T13:05:00"/>
    <d v="1899-12-30T13:39:00"/>
    <d v="1899-12-30T00:00:00"/>
    <d v="1899-12-30T00:34:00"/>
    <d v="1899-12-30T00:00:00"/>
    <d v="1899-12-30T00:00:00"/>
    <m/>
    <m/>
    <m/>
    <m/>
    <m/>
    <m/>
    <m/>
    <d v="1899-12-30T00:34:00"/>
    <s v="2+1"/>
  </r>
  <r>
    <d v="2005-12-10T00:00:00"/>
    <x v="6"/>
    <s v="S"/>
    <x v="0"/>
    <s v="DHC-1"/>
    <x v="33"/>
    <x v="4"/>
    <s v="P1"/>
    <s v="EGKA"/>
    <x v="0"/>
    <d v="1899-12-30T13:39:00"/>
    <d v="1899-12-30T14:10:00"/>
    <d v="1899-12-30T00:31:00"/>
    <d v="1899-12-30T00:00:00"/>
    <d v="1899-12-30T00:00:00"/>
    <d v="1899-12-30T00:00:00"/>
    <m/>
    <m/>
    <m/>
    <m/>
    <m/>
    <m/>
    <m/>
    <d v="1899-12-30T00:31:00"/>
    <m/>
  </r>
  <r>
    <d v="2005-12-10T00:00:00"/>
    <x v="1"/>
    <s v="S"/>
    <x v="0"/>
    <s v="PA28"/>
    <x v="11"/>
    <x v="4"/>
    <s v="P1"/>
    <s v="EGKA"/>
    <x v="0"/>
    <d v="1899-12-30T14:41:00"/>
    <d v="1899-12-30T15:16:00"/>
    <d v="1899-12-30T00:35:00"/>
    <d v="1899-12-30T00:00:00"/>
    <d v="1899-12-30T00:00:00"/>
    <d v="1899-12-30T00:00:00"/>
    <m/>
    <m/>
    <m/>
    <m/>
    <m/>
    <d v="1899-12-30T00:35:00"/>
    <m/>
    <d v="1899-12-30T00:35:00"/>
    <s v="J Hapnar, Ex 9"/>
  </r>
  <r>
    <d v="2005-12-17T00:00:00"/>
    <x v="1"/>
    <s v="S"/>
    <x v="0"/>
    <s v="PA28"/>
    <x v="11"/>
    <x v="4"/>
    <s v="P1"/>
    <s v="EGKA"/>
    <x v="17"/>
    <d v="1899-12-30T10:08:00"/>
    <d v="1899-12-30T11:09:00"/>
    <d v="1899-12-30T01:01:00"/>
    <d v="1899-12-30T00:00:00"/>
    <d v="1899-12-30T00:00:00"/>
    <d v="1899-12-30T00:00:00"/>
    <m/>
    <m/>
    <m/>
    <m/>
    <m/>
    <d v="1899-12-30T01:01:00"/>
    <m/>
    <d v="1899-12-30T01:01:00"/>
    <s v="A. Balcombe Ex 18a, Blackbushe via Basingstoke"/>
  </r>
  <r>
    <d v="2005-12-17T00:00:00"/>
    <x v="1"/>
    <s v="S"/>
    <x v="0"/>
    <s v="PA28"/>
    <x v="11"/>
    <x v="4"/>
    <s v="P1"/>
    <s v="EGLK"/>
    <x v="0"/>
    <d v="1899-12-30T11:34:00"/>
    <d v="1899-12-30T12:07:00"/>
    <d v="1899-12-30T00:33:00"/>
    <d v="1899-12-30T00:00:00"/>
    <d v="1899-12-30T00:00:00"/>
    <d v="1899-12-30T00:00:00"/>
    <m/>
    <m/>
    <m/>
    <m/>
    <m/>
    <d v="1899-12-30T00:33:00"/>
    <m/>
    <d v="1899-12-30T00:33:00"/>
    <m/>
  </r>
  <r>
    <d v="2005-12-17T00:00:00"/>
    <x v="1"/>
    <s v="S"/>
    <x v="0"/>
    <s v="PA28"/>
    <x v="11"/>
    <x v="4"/>
    <s v="P1"/>
    <s v="EGKA"/>
    <x v="2"/>
    <d v="1899-12-30T12:41:00"/>
    <d v="1899-12-30T13:24:00"/>
    <d v="1899-12-30T00:43:00"/>
    <d v="1899-12-30T00:00:00"/>
    <d v="1899-12-30T00:00:00"/>
    <d v="1899-12-30T00:00:00"/>
    <m/>
    <m/>
    <m/>
    <m/>
    <m/>
    <d v="1899-12-30T00:43:00"/>
    <m/>
    <d v="1899-12-30T00:43:00"/>
    <s v="D. Nice, Ex 18a, Lydd"/>
  </r>
  <r>
    <d v="2005-12-17T00:00:00"/>
    <x v="1"/>
    <s v="S"/>
    <x v="0"/>
    <s v="PA28"/>
    <x v="11"/>
    <x v="4"/>
    <s v="P1"/>
    <s v="EGMD"/>
    <x v="0"/>
    <d v="1899-12-30T13:38:00"/>
    <d v="1899-12-30T14:27:00"/>
    <d v="1899-12-30T00:49:00"/>
    <d v="1899-12-30T00:00:00"/>
    <d v="1899-12-30T00:00:00"/>
    <d v="1899-12-30T00:00:00"/>
    <m/>
    <m/>
    <m/>
    <m/>
    <m/>
    <d v="1899-12-30T00:49:00"/>
    <m/>
    <d v="1899-12-30T00:49:00"/>
    <m/>
  </r>
  <r>
    <d v="2005-12-17T00:00:00"/>
    <x v="6"/>
    <s v="S"/>
    <x v="0"/>
    <s v="DHC-1"/>
    <x v="33"/>
    <x v="18"/>
    <s v="PUT"/>
    <s v="EGKA"/>
    <x v="0"/>
    <d v="1899-12-30T15:45:00"/>
    <d v="1899-12-30T16:30:00"/>
    <d v="1899-12-30T00:00:00"/>
    <d v="1899-12-30T00:45:00"/>
    <d v="1899-12-30T00:00:00"/>
    <d v="1899-12-30T00:00:00"/>
    <m/>
    <m/>
    <m/>
    <m/>
    <m/>
    <m/>
    <m/>
    <d v="1899-12-30T00:45:00"/>
    <s v="Ex 12, 13 - Xwind Wheelers"/>
  </r>
  <r>
    <d v="2005-12-28T00:00:00"/>
    <x v="1"/>
    <s v="S"/>
    <x v="0"/>
    <s v="PA28"/>
    <x v="11"/>
    <x v="4"/>
    <s v="P1"/>
    <s v="EGKA"/>
    <x v="0"/>
    <d v="1899-12-30T11:00:00"/>
    <d v="1899-12-30T12:25:00"/>
    <d v="1899-12-30T01:25:00"/>
    <d v="1899-12-30T00:00:00"/>
    <d v="1899-12-30T00:00:00"/>
    <d v="1899-12-30T00:00:00"/>
    <m/>
    <m/>
    <m/>
    <m/>
    <m/>
    <d v="1899-12-30T01:25:00"/>
    <m/>
    <d v="1899-12-30T01:25:00"/>
    <s v="Ex 16.1 - Andy Balcombe"/>
  </r>
  <r>
    <d v="2005-12-28T00:00:00"/>
    <x v="1"/>
    <s v="S"/>
    <x v="0"/>
    <s v="PA28"/>
    <x v="11"/>
    <x v="4"/>
    <s v="P1"/>
    <s v="EGKA"/>
    <x v="0"/>
    <d v="1899-12-30T13:30:00"/>
    <d v="1899-12-30T14:10:00"/>
    <d v="1899-12-30T00:40:00"/>
    <d v="1899-12-30T00:00:00"/>
    <d v="1899-12-30T00:00:00"/>
    <d v="1899-12-30T00:00:00"/>
    <m/>
    <m/>
    <m/>
    <m/>
    <m/>
    <d v="1899-12-30T00:40:00"/>
    <m/>
    <d v="1899-12-30T00:40:00"/>
    <s v="Ex 9 - J Hapnar"/>
  </r>
  <r>
    <d v="2005-12-28T00:00:00"/>
    <x v="1"/>
    <s v="S"/>
    <x v="0"/>
    <s v="PA28"/>
    <x v="11"/>
    <x v="4"/>
    <s v="P1"/>
    <s v="EGKA"/>
    <x v="0"/>
    <d v="1899-12-30T15:00:00"/>
    <d v="1899-12-30T15:45:00"/>
    <d v="1899-12-30T00:45:00"/>
    <d v="1899-12-30T00:00:00"/>
    <d v="1899-12-30T00:00:00"/>
    <d v="1899-12-30T00:00:00"/>
    <m/>
    <m/>
    <m/>
    <m/>
    <m/>
    <d v="1899-12-30T00:45:00"/>
    <m/>
    <d v="1899-12-30T00:45:00"/>
    <s v="Ex 16.1,2 - G Marshall, Check Flight"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2006-01-14T00:00:00"/>
    <x v="1"/>
    <s v="S"/>
    <x v="0"/>
    <s v="PA28"/>
    <x v="11"/>
    <x v="4"/>
    <s v="P1"/>
    <s v="EGKA"/>
    <x v="0"/>
    <d v="1899-12-30T13:37:00"/>
    <d v="1899-12-30T14:25:00"/>
    <d v="1899-12-30T00:48:00"/>
    <d v="1899-12-30T00:00:00"/>
    <d v="1899-12-30T00:00:00"/>
    <d v="1899-12-30T00:00:00"/>
    <m/>
    <m/>
    <m/>
    <m/>
    <m/>
    <d v="1899-12-30T00:48:00"/>
    <m/>
    <d v="1899-12-30T00:48:00"/>
    <s v="Ex 19 A Balcomb"/>
  </r>
  <r>
    <d v="2006-01-14T00:00:00"/>
    <x v="1"/>
    <s v="S"/>
    <x v="0"/>
    <s v="PA28"/>
    <x v="11"/>
    <x v="4"/>
    <s v="P1"/>
    <s v="EGKA"/>
    <x v="0"/>
    <d v="1899-12-30T12:00:00"/>
    <d v="1899-12-30T12:20:00"/>
    <d v="1899-12-30T00:20:00"/>
    <d v="1899-12-30T00:00:00"/>
    <d v="1899-12-30T00:00:00"/>
    <d v="1899-12-30T00:00:00"/>
    <m/>
    <m/>
    <m/>
    <m/>
    <m/>
    <d v="1899-12-30T00:20:00"/>
    <m/>
    <d v="1899-12-30T00:20:00"/>
    <s v="Ex 8/9 J Hapnar - Abandoned"/>
  </r>
  <r>
    <d v="2006-01-21T00:00:00"/>
    <x v="17"/>
    <s v="S"/>
    <x v="0"/>
    <s v="EXTRA"/>
    <x v="44"/>
    <x v="17"/>
    <s v="PUT"/>
    <s v="EGKA"/>
    <x v="0"/>
    <d v="1899-12-30T14:25:00"/>
    <d v="1899-12-30T15:05:00"/>
    <d v="1899-12-30T00:00:00"/>
    <d v="1899-12-30T00:40:00"/>
    <d v="1899-12-30T00:00:00"/>
    <d v="1899-12-30T00:00:00"/>
    <m/>
    <m/>
    <m/>
    <m/>
    <m/>
    <m/>
    <m/>
    <d v="1899-12-30T00:40:00"/>
    <m/>
  </r>
  <r>
    <d v="2006-01-22T00:00:00"/>
    <x v="6"/>
    <s v="S"/>
    <x v="0"/>
    <s v="DHC-1"/>
    <x v="33"/>
    <x v="4"/>
    <s v="P1"/>
    <s v="EGKA"/>
    <x v="0"/>
    <d v="1899-12-30T10:40:00"/>
    <d v="1899-12-30T11:20:00"/>
    <d v="1899-12-30T00:40:00"/>
    <d v="1899-12-30T00:00:00"/>
    <d v="1899-12-30T00:00:00"/>
    <d v="1899-12-30T00:00:00"/>
    <m/>
    <m/>
    <m/>
    <m/>
    <m/>
    <d v="1899-12-30T00:40:00"/>
    <m/>
    <d v="1899-12-30T00:40:00"/>
    <m/>
  </r>
  <r>
    <d v="2006-01-28T00:00:00"/>
    <x v="1"/>
    <s v="S"/>
    <x v="0"/>
    <s v="PA28"/>
    <x v="11"/>
    <x v="4"/>
    <s v="P1"/>
    <s v="EGKA"/>
    <x v="0"/>
    <d v="1899-12-30T10:20:00"/>
    <d v="1899-12-30T10:50:00"/>
    <d v="1899-12-30T00:30:00"/>
    <d v="1899-12-30T00:00:00"/>
    <d v="1899-12-30T00:00:00"/>
    <d v="1899-12-30T00:00:00"/>
    <m/>
    <m/>
    <m/>
    <m/>
    <m/>
    <d v="1899-12-30T00:30:00"/>
    <m/>
    <d v="1899-12-30T00:30:00"/>
    <s v="Trial Lesson"/>
  </r>
  <r>
    <d v="2006-01-28T00:00:00"/>
    <x v="1"/>
    <s v="S"/>
    <x v="0"/>
    <s v="PA28"/>
    <x v="11"/>
    <x v="4"/>
    <s v="P1"/>
    <s v="EGKA"/>
    <x v="0"/>
    <d v="1899-12-30T11:53:00"/>
    <d v="1899-12-30T13:10:00"/>
    <d v="1899-12-30T01:17:00"/>
    <d v="1899-12-30T00:00:00"/>
    <d v="1899-12-30T00:00:00"/>
    <d v="1899-12-30T00:00:00"/>
    <m/>
    <m/>
    <m/>
    <m/>
    <m/>
    <d v="1899-12-30T01:17:00"/>
    <m/>
    <d v="1899-12-30T01:17:00"/>
    <s v="Ex 15 A. Balcombe"/>
  </r>
  <r>
    <d v="2006-01-28T00:00:00"/>
    <x v="1"/>
    <s v="S"/>
    <x v="0"/>
    <s v="PA28"/>
    <x v="11"/>
    <x v="18"/>
    <s v="PUT"/>
    <s v="EGKA"/>
    <x v="0"/>
    <d v="1899-12-30T14:02:00"/>
    <d v="1899-12-30T15:20:00"/>
    <d v="1899-12-30T00:00:00"/>
    <d v="1899-12-30T01:18:00"/>
    <d v="1899-12-30T00:00:00"/>
    <d v="1899-12-30T00:00:00"/>
    <m/>
    <m/>
    <m/>
    <m/>
    <m/>
    <m/>
    <m/>
    <d v="1899-12-30T01:18:00"/>
    <m/>
  </r>
  <r>
    <d v="2006-02-11T00:00:00"/>
    <x v="1"/>
    <s v="S"/>
    <x v="0"/>
    <s v="PA28"/>
    <x v="42"/>
    <x v="4"/>
    <s v="P1"/>
    <s v="EGKA"/>
    <x v="0"/>
    <d v="1899-12-30T10:00:00"/>
    <d v="1899-12-30T10:35:00"/>
    <d v="1899-12-30T00:35:00"/>
    <d v="1899-12-30T00:00:00"/>
    <d v="1899-12-30T00:00:00"/>
    <d v="1899-12-30T00:00:00"/>
    <m/>
    <m/>
    <m/>
    <m/>
    <m/>
    <d v="1899-12-30T00:35:00"/>
    <m/>
    <d v="1899-12-30T00:35:00"/>
    <s v="Ex 7,8 - J Hapnar"/>
  </r>
  <r>
    <d v="2006-02-11T00:00:00"/>
    <x v="1"/>
    <s v="S"/>
    <x v="0"/>
    <s v="PA28"/>
    <x v="11"/>
    <x v="4"/>
    <s v="P1"/>
    <s v="EGKA"/>
    <x v="4"/>
    <d v="1899-12-30T11:55:00"/>
    <d v="1899-12-30T12:30:00"/>
    <d v="1899-12-30T00:35:00"/>
    <d v="1899-12-30T00:00:00"/>
    <d v="1899-12-30T00:00:00"/>
    <d v="1899-12-30T00:00:00"/>
    <m/>
    <m/>
    <m/>
    <m/>
    <m/>
    <d v="1899-12-30T00:35:00"/>
    <m/>
    <d v="1899-12-30T00:35:00"/>
    <s v="A. Balcomb - Bad Approach!"/>
  </r>
  <r>
    <d v="2006-02-11T00:00:00"/>
    <x v="1"/>
    <s v="S"/>
    <x v="0"/>
    <s v="PA28"/>
    <x v="11"/>
    <x v="4"/>
    <s v="P1"/>
    <s v="EGHR"/>
    <x v="0"/>
    <d v="1899-12-30T12:45:00"/>
    <d v="1899-12-30T13:10:00"/>
    <d v="1899-12-30T00:25:00"/>
    <d v="1899-12-30T00:00:00"/>
    <d v="1899-12-30T00:00:00"/>
    <d v="1899-12-30T00:00:00"/>
    <m/>
    <m/>
    <m/>
    <m/>
    <m/>
    <d v="1899-12-30T00:25:00"/>
    <m/>
    <d v="1899-12-30T00:25:00"/>
    <s v="A. Balcomb"/>
  </r>
  <r>
    <d v="2006-02-11T00:00:00"/>
    <x v="1"/>
    <s v="S"/>
    <x v="0"/>
    <s v="PA28"/>
    <x v="11"/>
    <x v="4"/>
    <s v="P1"/>
    <s v="EGKA"/>
    <x v="0"/>
    <d v="1899-12-30T14:30:00"/>
    <d v="1899-12-30T15:30:00"/>
    <d v="1899-12-30T01:00:00"/>
    <d v="1899-12-30T00:00:00"/>
    <d v="1899-12-30T00:00:00"/>
    <d v="1899-12-30T00:00:00"/>
    <m/>
    <m/>
    <m/>
    <m/>
    <m/>
    <d v="1899-12-30T01:00:00"/>
    <m/>
    <d v="1899-12-30T01:00:00"/>
    <s v="Check Ride"/>
  </r>
  <r>
    <d v="2006-02-11T00:00:00"/>
    <x v="6"/>
    <s v="S"/>
    <x v="0"/>
    <s v="DHC-1"/>
    <x v="33"/>
    <x v="4"/>
    <s v="P1"/>
    <s v="EGKA"/>
    <x v="0"/>
    <d v="1899-12-30T16:15:00"/>
    <d v="1899-12-30T17:05:00"/>
    <d v="1899-12-30T00:50:00"/>
    <d v="1899-12-30T00:00:00"/>
    <d v="1899-12-30T00:00:00"/>
    <d v="1899-12-30T00:00:00"/>
    <m/>
    <m/>
    <m/>
    <m/>
    <m/>
    <m/>
    <m/>
    <d v="1899-12-30T00:50:00"/>
    <s v="With Neil"/>
  </r>
  <r>
    <d v="2006-02-25T00:00:00"/>
    <x v="1"/>
    <s v="S"/>
    <x v="0"/>
    <s v="PA28"/>
    <x v="11"/>
    <x v="4"/>
    <s v="P1"/>
    <s v="EGKA"/>
    <x v="4"/>
    <d v="1899-12-30T08:50:00"/>
    <d v="1899-12-30T09:20:00"/>
    <d v="1899-12-30T00:30:00"/>
    <d v="1899-12-30T00:00:00"/>
    <d v="1899-12-30T00:00:00"/>
    <d v="1899-12-30T00:00:00"/>
    <m/>
    <m/>
    <m/>
    <m/>
    <m/>
    <d v="1899-12-30T00:30:00"/>
    <m/>
    <d v="1899-12-30T00:30:00"/>
    <s v="A. Balcomb - Good this time"/>
  </r>
  <r>
    <d v="2006-02-25T00:00:00"/>
    <x v="1"/>
    <s v="S"/>
    <x v="0"/>
    <s v="PA28"/>
    <x v="11"/>
    <x v="4"/>
    <s v="P1"/>
    <s v="EGHR"/>
    <x v="0"/>
    <d v="1899-12-30T09:20:00"/>
    <d v="1899-12-30T09:48:00"/>
    <d v="1899-12-30T00:28:00"/>
    <d v="1899-12-30T00:00:00"/>
    <d v="1899-12-30T00:00:00"/>
    <d v="1899-12-30T00:00:00"/>
    <m/>
    <m/>
    <m/>
    <m/>
    <m/>
    <d v="1899-12-30T00:28:00"/>
    <m/>
    <d v="1899-12-30T00:28:00"/>
    <s v="A. Balcomb"/>
  </r>
  <r>
    <d v="2006-02-25T00:00:00"/>
    <x v="6"/>
    <s v="S"/>
    <x v="0"/>
    <s v="DHC-1"/>
    <x v="33"/>
    <x v="4"/>
    <s v="P1"/>
    <s v="EGKA"/>
    <x v="0"/>
    <d v="1899-12-30T11:00:00"/>
    <d v="1899-12-30T11:50:00"/>
    <d v="1899-12-30T00:50:00"/>
    <d v="1899-12-30T00:00:00"/>
    <d v="1899-12-30T00:00:00"/>
    <d v="1899-12-30T00:00:00"/>
    <m/>
    <m/>
    <m/>
    <m/>
    <m/>
    <m/>
    <m/>
    <d v="1899-12-30T00:50:00"/>
    <s v="With Neil"/>
  </r>
  <r>
    <d v="2006-03-04T00:00:00"/>
    <x v="1"/>
    <s v="S"/>
    <x v="0"/>
    <s v="PA28"/>
    <x v="11"/>
    <x v="4"/>
    <s v="P1"/>
    <s v="EGKA"/>
    <x v="0"/>
    <d v="1899-12-30T14:55:00"/>
    <d v="1899-12-30T15:35:00"/>
    <d v="1899-12-30T00:40:00"/>
    <d v="1899-12-30T00:00:00"/>
    <d v="1899-12-30T00:00:00"/>
    <d v="1899-12-30T00:00:00"/>
    <m/>
    <m/>
    <m/>
    <m/>
    <m/>
    <d v="1899-12-30T00:40:00"/>
    <m/>
    <d v="1899-12-30T00:40:00"/>
    <s v="Ex 6.1, 7, 8 J Hapnar"/>
  </r>
  <r>
    <d v="2006-03-04T00:00:00"/>
    <x v="6"/>
    <s v="S"/>
    <x v="0"/>
    <s v="DHC-1"/>
    <x v="33"/>
    <x v="4"/>
    <s v="P1"/>
    <s v="EGKA"/>
    <x v="0"/>
    <d v="1899-12-30T16:30:00"/>
    <d v="1899-12-30T17:25:00"/>
    <d v="1899-12-30T00:55:00"/>
    <d v="1899-12-30T00:00:00"/>
    <d v="1899-12-30T00:00:00"/>
    <d v="1899-12-30T00:00:00"/>
    <m/>
    <m/>
    <m/>
    <m/>
    <m/>
    <m/>
    <m/>
    <d v="1899-12-30T00:55:00"/>
    <s v="With Neil"/>
  </r>
  <r>
    <d v="2006-03-05T00:00:00"/>
    <x v="15"/>
    <s v="T"/>
    <x v="2"/>
    <s v="BE76"/>
    <x v="41"/>
    <x v="21"/>
    <s v="PUT"/>
    <s v="EGKA"/>
    <x v="2"/>
    <d v="1899-12-30T16:30:00"/>
    <d v="1899-12-30T17:10:00"/>
    <d v="1899-12-30T00:00:00"/>
    <d v="1899-12-30T00:00:00"/>
    <d v="1899-12-30T00:00:00"/>
    <d v="1899-12-30T00:40:00"/>
    <m/>
    <m/>
    <m/>
    <m/>
    <m/>
    <m/>
    <m/>
    <d v="1899-12-30T00:40:00"/>
    <s v="3+1"/>
  </r>
  <r>
    <d v="2006-03-05T00:00:00"/>
    <x v="15"/>
    <s v="T"/>
    <x v="2"/>
    <s v="BE76"/>
    <x v="41"/>
    <x v="21"/>
    <s v="PUT"/>
    <s v="EGMD"/>
    <x v="0"/>
    <d v="1899-12-30T17:20:00"/>
    <d v="1899-12-30T17:55:00"/>
    <d v="1899-12-30T00:00:00"/>
    <d v="1899-12-30T00:00:00"/>
    <d v="1899-12-30T00:00:00"/>
    <d v="1899-12-30T00:35:00"/>
    <m/>
    <m/>
    <m/>
    <m/>
    <m/>
    <m/>
    <m/>
    <d v="1899-12-30T00:35:00"/>
    <s v="Stalling"/>
  </r>
  <r>
    <d v="2006-04-05T00:00:00"/>
    <x v="15"/>
    <s v="T"/>
    <x v="2"/>
    <s v="BE76"/>
    <x v="41"/>
    <x v="4"/>
    <s v="P1"/>
    <s v="EGKA"/>
    <x v="2"/>
    <m/>
    <m/>
    <d v="1899-12-30T00:00:00"/>
    <d v="1899-12-30T00:00:00"/>
    <d v="1899-12-30T00:00:00"/>
    <d v="1899-12-30T00:00:00"/>
    <m/>
    <m/>
    <m/>
    <m/>
    <m/>
    <m/>
    <m/>
    <d v="1899-12-30T00:00:00"/>
    <s v="Twin renewal with D. Pooley"/>
  </r>
  <r>
    <d v="2006-04-05T00:00:00"/>
    <x v="15"/>
    <s v="T"/>
    <x v="2"/>
    <s v="BE76"/>
    <x v="41"/>
    <x v="4"/>
    <s v="P1"/>
    <s v="EGMD"/>
    <x v="0"/>
    <m/>
    <m/>
    <d v="1899-12-30T00:00:00"/>
    <d v="1899-12-30T00:00:00"/>
    <d v="1899-12-30T00:00:00"/>
    <d v="1899-12-30T00:00:00"/>
    <m/>
    <m/>
    <m/>
    <m/>
    <m/>
    <m/>
    <m/>
    <d v="1899-12-30T00:00:00"/>
    <s v="Twin renewal with D. Pooley"/>
  </r>
  <r>
    <d v="2006-04-08T00:00:00"/>
    <x v="1"/>
    <s v="S"/>
    <x v="0"/>
    <s v="PA28"/>
    <x v="11"/>
    <x v="4"/>
    <s v="P1"/>
    <s v="EGKA"/>
    <x v="0"/>
    <d v="1899-12-30T10:40:00"/>
    <d v="1899-12-30T12:00:00"/>
    <d v="1899-12-30T01:20:00"/>
    <d v="1899-12-30T00:00:00"/>
    <d v="1899-12-30T00:00:00"/>
    <d v="1899-12-30T00:00:00"/>
    <m/>
    <m/>
    <m/>
    <m/>
    <m/>
    <d v="1899-12-30T01:20:00"/>
    <m/>
    <d v="1899-12-30T01:20:00"/>
    <s v="Revision A. Balcombe, Stalling, Spiral Dives + 2+1"/>
  </r>
  <r>
    <d v="2006-04-08T00:00:00"/>
    <x v="1"/>
    <s v="S"/>
    <x v="0"/>
    <s v="PA28"/>
    <x v="11"/>
    <x v="24"/>
    <s v="PUT"/>
    <s v="EGKA"/>
    <x v="0"/>
    <d v="1899-12-30T15:35:00"/>
    <d v="1899-12-30T16:35:00"/>
    <d v="1899-12-30T00:00:00"/>
    <d v="1899-12-30T01:00:00"/>
    <d v="1899-12-30T00:00:00"/>
    <d v="1899-12-30T00:00:00"/>
    <m/>
    <m/>
    <m/>
    <m/>
    <m/>
    <m/>
    <m/>
    <d v="1899-12-30T01:00:00"/>
    <s v="PFL + Flapless"/>
  </r>
  <r>
    <d v="2006-04-14T00:00:00"/>
    <x v="6"/>
    <s v="S"/>
    <x v="0"/>
    <s v="DHC-1"/>
    <x v="33"/>
    <x v="4"/>
    <s v="P1"/>
    <s v="EGKA"/>
    <x v="0"/>
    <d v="1899-12-30T14:20:00"/>
    <d v="1899-12-30T15:10:00"/>
    <d v="1899-12-30T00:50:00"/>
    <d v="1899-12-30T00:00:00"/>
    <d v="1899-12-30T00:00:00"/>
    <d v="1899-12-30T00:00:00"/>
    <m/>
    <m/>
    <m/>
    <m/>
    <m/>
    <m/>
    <m/>
    <d v="1899-12-30T00:50:00"/>
    <m/>
  </r>
  <r>
    <d v="2006-04-16T00:00:00"/>
    <x v="6"/>
    <s v="S"/>
    <x v="0"/>
    <s v="DHC-1"/>
    <x v="33"/>
    <x v="4"/>
    <s v="P1"/>
    <s v="EGKA"/>
    <x v="0"/>
    <d v="1899-12-30T12:30:00"/>
    <d v="1899-12-30T13:05:00"/>
    <d v="1899-12-30T00:35:00"/>
    <d v="1899-12-30T00:00:00"/>
    <d v="1899-12-30T00:00:00"/>
    <d v="1899-12-30T00:00:00"/>
    <m/>
    <m/>
    <m/>
    <m/>
    <m/>
    <m/>
    <m/>
    <d v="1899-12-30T00:35:00"/>
    <m/>
  </r>
  <r>
    <d v="2006-04-16T00:00:00"/>
    <x v="1"/>
    <s v="S"/>
    <x v="0"/>
    <s v="PA28"/>
    <x v="11"/>
    <x v="4"/>
    <s v="P1"/>
    <s v="EGKA"/>
    <x v="0"/>
    <d v="1899-12-30T14:10:00"/>
    <d v="1899-12-30T15:15:00"/>
    <d v="1899-12-30T01:05:00"/>
    <d v="1899-12-30T00:00:00"/>
    <d v="1899-12-30T00:00:00"/>
    <d v="1899-12-30T00:00:00"/>
    <m/>
    <m/>
    <m/>
    <m/>
    <m/>
    <d v="1899-12-30T01:05:00"/>
    <m/>
    <d v="1899-12-30T01:05:00"/>
    <s v="Ex 10.2, 16.2 - A Balcombe"/>
  </r>
  <r>
    <d v="2006-04-16T00:00:00"/>
    <x v="1"/>
    <s v="S"/>
    <x v="0"/>
    <s v="PA28"/>
    <x v="11"/>
    <x v="4"/>
    <s v="P1"/>
    <s v="EGKA"/>
    <x v="48"/>
    <d v="1899-12-30T16:45:00"/>
    <d v="1899-12-30T17:25:00"/>
    <d v="1899-12-30T00:40:00"/>
    <d v="1899-12-30T00:00:00"/>
    <d v="1899-12-30T00:00:00"/>
    <d v="1899-12-30T00:00:00"/>
    <m/>
    <m/>
    <m/>
    <m/>
    <m/>
    <d v="1899-12-30T00:40:00"/>
    <m/>
    <d v="1899-12-30T00:40:00"/>
    <s v="T/L"/>
  </r>
  <r>
    <d v="2006-04-16T00:00:00"/>
    <x v="1"/>
    <s v="S"/>
    <x v="0"/>
    <s v="PA28"/>
    <x v="11"/>
    <x v="4"/>
    <s v="P1"/>
    <s v="EGHN"/>
    <x v="0"/>
    <d v="1899-12-30T17:55:00"/>
    <d v="1899-12-30T18:25:00"/>
    <d v="1899-12-30T00:30:00"/>
    <d v="1899-12-30T00:00:00"/>
    <d v="1899-12-30T00:00:00"/>
    <d v="1899-12-30T00:00:00"/>
    <m/>
    <m/>
    <m/>
    <m/>
    <m/>
    <d v="1899-12-30T00:30:00"/>
    <m/>
    <d v="1899-12-30T00:30:00"/>
    <m/>
  </r>
  <r>
    <d v="2006-04-17T00:00:00"/>
    <x v="1"/>
    <s v="S"/>
    <x v="0"/>
    <s v="PA28"/>
    <x v="11"/>
    <x v="4"/>
    <s v="P1"/>
    <s v="EGKA"/>
    <x v="0"/>
    <d v="1899-12-30T17:00:00"/>
    <d v="1899-12-30T18:10:00"/>
    <d v="1899-12-30T01:10:00"/>
    <d v="1899-12-30T00:00:00"/>
    <d v="1899-12-30T00:00:00"/>
    <d v="1899-12-30T00:00:00"/>
    <m/>
    <m/>
    <m/>
    <m/>
    <m/>
    <d v="1899-12-30T01:10:00"/>
    <m/>
    <d v="1899-12-30T01:10:00"/>
    <s v="Ex 13 (2), 16.2 - Mike Savereux"/>
  </r>
  <r>
    <d v="2006-05-13T00:00:00"/>
    <x v="1"/>
    <s v="S"/>
    <x v="0"/>
    <s v="PA28"/>
    <x v="42"/>
    <x v="4"/>
    <s v="P1"/>
    <s v="EGKA"/>
    <x v="0"/>
    <d v="1899-12-30T12:40:00"/>
    <d v="1899-12-30T13:40:00"/>
    <d v="1899-12-30T01:00:00"/>
    <d v="1899-12-30T00:00:00"/>
    <d v="1899-12-30T00:00:00"/>
    <d v="1899-12-30T00:00:00"/>
    <m/>
    <m/>
    <m/>
    <m/>
    <m/>
    <d v="1899-12-30T01:00:00"/>
    <m/>
    <d v="1899-12-30T01:00:00"/>
    <s v="A Balcomb - Position fix plus Glide approach"/>
  </r>
  <r>
    <d v="2006-05-29T00:00:00"/>
    <x v="15"/>
    <s v="T"/>
    <x v="2"/>
    <s v="BE76"/>
    <x v="41"/>
    <x v="4"/>
    <s v="P1"/>
    <s v="EGFF"/>
    <x v="0"/>
    <d v="1899-12-30T10:10:00"/>
    <d v="1899-12-30T11:15:00"/>
    <d v="1899-12-30T00:00:00"/>
    <d v="1899-12-30T00:00:00"/>
    <d v="1899-12-30T01:05:00"/>
    <d v="1899-12-30T00:00:00"/>
    <m/>
    <m/>
    <m/>
    <m/>
    <n v="0.2"/>
    <m/>
    <m/>
    <d v="1899-12-30T01:05:00"/>
    <s v="Back from Cardiff woth H"/>
  </r>
  <r>
    <d v="2006-06-03T00:00:00"/>
    <x v="1"/>
    <s v="S"/>
    <x v="0"/>
    <s v="PA28"/>
    <x v="11"/>
    <x v="4"/>
    <s v="P1"/>
    <s v="EGKA"/>
    <x v="4"/>
    <d v="1899-12-30T12:20:00"/>
    <d v="1899-12-30T12:55:00"/>
    <d v="1899-12-30T00:35:00"/>
    <d v="1899-12-30T00:00:00"/>
    <d v="1899-12-30T00:00:00"/>
    <d v="1899-12-30T00:00:00"/>
    <m/>
    <m/>
    <m/>
    <m/>
    <m/>
    <d v="1899-12-30T00:35:00"/>
    <m/>
    <d v="1899-12-30T00:35:00"/>
    <s v="Trial Lesson"/>
  </r>
  <r>
    <d v="2006-06-03T00:00:00"/>
    <x v="1"/>
    <s v="S"/>
    <x v="0"/>
    <s v="PA28"/>
    <x v="11"/>
    <x v="4"/>
    <s v="P1"/>
    <s v="EGHR"/>
    <x v="0"/>
    <d v="1899-12-30T13:25:00"/>
    <d v="1899-12-30T13:55:00"/>
    <d v="1899-12-30T00:30:00"/>
    <d v="1899-12-30T00:00:00"/>
    <d v="1899-12-30T00:00:00"/>
    <d v="1899-12-30T00:00:00"/>
    <m/>
    <m/>
    <m/>
    <m/>
    <m/>
    <d v="1899-12-30T00:30:00"/>
    <m/>
    <d v="1899-12-30T00:30:00"/>
    <m/>
  </r>
  <r>
    <d v="2006-06-03T00:00:00"/>
    <x v="1"/>
    <s v="S"/>
    <x v="0"/>
    <s v="PA28"/>
    <x v="11"/>
    <x v="4"/>
    <s v="P1"/>
    <s v="EGKA"/>
    <x v="0"/>
    <d v="1899-12-30T14:45:00"/>
    <d v="1899-12-30T16:55:00"/>
    <d v="1899-12-30T02:10:00"/>
    <d v="1899-12-30T00:00:00"/>
    <d v="1899-12-30T00:00:00"/>
    <d v="1899-12-30T00:00:00"/>
    <m/>
    <m/>
    <m/>
    <m/>
    <m/>
    <d v="1899-12-30T02:10:00"/>
    <m/>
    <d v="1899-12-30T02:10:00"/>
    <s v="Pre Qual with Andy Balcomb!  Bad!"/>
  </r>
  <r>
    <d v="2006-06-03T00:00:00"/>
    <x v="6"/>
    <s v="S"/>
    <x v="0"/>
    <s v="DHC-1"/>
    <x v="33"/>
    <x v="4"/>
    <s v="P1"/>
    <s v="EGKA"/>
    <x v="0"/>
    <d v="1899-12-30T17:40:00"/>
    <d v="1899-12-30T18:30:00"/>
    <d v="1899-12-30T00:50:00"/>
    <d v="1899-12-30T00:00:00"/>
    <d v="1899-12-30T00:00:00"/>
    <d v="1899-12-30T00:00:00"/>
    <m/>
    <m/>
    <m/>
    <m/>
    <m/>
    <m/>
    <m/>
    <d v="1899-12-30T00:50:00"/>
    <s v="With Chris Batt"/>
  </r>
  <r>
    <d v="2006-06-04T00:00:00"/>
    <x v="1"/>
    <s v="S"/>
    <x v="0"/>
    <s v="PA28"/>
    <x v="11"/>
    <x v="4"/>
    <s v="P1"/>
    <s v="EGKA"/>
    <x v="0"/>
    <d v="1899-12-30T13:45:00"/>
    <d v="1899-12-30T14:15:00"/>
    <d v="1899-12-30T00:30:00"/>
    <d v="1899-12-30T00:00:00"/>
    <d v="1899-12-30T00:00:00"/>
    <d v="1899-12-30T00:00:00"/>
    <m/>
    <m/>
    <m/>
    <m/>
    <m/>
    <d v="1899-12-30T00:30:00"/>
    <m/>
    <d v="1899-12-30T00:30:00"/>
    <s v="Trial Lesson"/>
  </r>
  <r>
    <d v="2006-06-10T00:00:00"/>
    <x v="1"/>
    <s v="S"/>
    <x v="0"/>
    <s v="PA28"/>
    <x v="11"/>
    <x v="4"/>
    <s v="P1"/>
    <s v="EGKA"/>
    <x v="0"/>
    <d v="1899-12-30T11:20:00"/>
    <d v="1899-12-30T12:25:00"/>
    <d v="1899-12-30T01:05:00"/>
    <d v="1899-12-30T00:00:00"/>
    <d v="1899-12-30T00:00:00"/>
    <d v="1899-12-30T00:00:00"/>
    <m/>
    <m/>
    <m/>
    <m/>
    <m/>
    <d v="1899-12-30T01:05:00"/>
    <m/>
    <d v="1899-12-30T01:05:00"/>
    <s v="28 day check - M Vaughan"/>
  </r>
  <r>
    <d v="2006-06-10T00:00:00"/>
    <x v="1"/>
    <s v="S"/>
    <x v="0"/>
    <s v="PA28"/>
    <x v="11"/>
    <x v="4"/>
    <s v="P1"/>
    <s v="EGKA"/>
    <x v="0"/>
    <d v="1899-12-30T12:30:00"/>
    <d v="1899-12-30T13:25:00"/>
    <d v="1899-12-30T00:55:00"/>
    <d v="1899-12-30T00:00:00"/>
    <d v="1899-12-30T00:00:00"/>
    <d v="1899-12-30T00:00:00"/>
    <m/>
    <m/>
    <m/>
    <m/>
    <m/>
    <d v="1899-12-30T00:55:00"/>
    <m/>
    <d v="1899-12-30T00:55:00"/>
    <s v="Martin - 1+1"/>
  </r>
  <r>
    <d v="2006-06-11T00:00:00"/>
    <x v="15"/>
    <s v="T"/>
    <x v="2"/>
    <s v="BE76"/>
    <x v="41"/>
    <x v="4"/>
    <s v="P1"/>
    <s v="LFOP"/>
    <x v="0"/>
    <d v="1899-12-30T09:45:00"/>
    <d v="1899-12-30T10:35:00"/>
    <d v="1899-12-30T00:00:00"/>
    <d v="1899-12-30T00:00:00"/>
    <d v="1899-12-30T00:50:00"/>
    <d v="1899-12-30T00:00:00"/>
    <m/>
    <m/>
    <m/>
    <m/>
    <m/>
    <m/>
    <m/>
    <d v="1899-12-30T00:50:00"/>
    <s v="Return from Rouen"/>
  </r>
  <r>
    <d v="2006-06-24T00:00:00"/>
    <x v="1"/>
    <s v="S"/>
    <x v="0"/>
    <s v="PA28"/>
    <x v="11"/>
    <x v="4"/>
    <s v="P1"/>
    <s v="EGKA"/>
    <x v="0"/>
    <d v="1899-12-30T10:05:00"/>
    <d v="1899-12-30T11:30:00"/>
    <d v="1899-12-30T01:25:00"/>
    <d v="1899-12-30T00:00:00"/>
    <d v="1899-12-30T00:00:00"/>
    <d v="1899-12-30T00:00:00"/>
    <m/>
    <m/>
    <m/>
    <m/>
    <m/>
    <d v="1899-12-30T01:25:00"/>
    <m/>
    <d v="1899-12-30T01:25:00"/>
    <s v="Andy Balcome - Navex Gravesend + divert + stall"/>
  </r>
  <r>
    <d v="2006-06-24T00:00:00"/>
    <x v="1"/>
    <s v="S"/>
    <x v="0"/>
    <s v="PA28"/>
    <x v="45"/>
    <x v="4"/>
    <s v="P1"/>
    <s v="EGKA"/>
    <x v="16"/>
    <d v="1899-12-30T13:40:00"/>
    <d v="1899-12-30T16:45:00"/>
    <d v="1899-12-30T03:05:00"/>
    <d v="1899-12-30T00:00:00"/>
    <d v="1899-12-30T00:00:00"/>
    <d v="1899-12-30T00:00:00"/>
    <m/>
    <m/>
    <m/>
    <m/>
    <n v="1"/>
    <m/>
    <m/>
    <d v="1899-12-30T03:05:00"/>
    <s v="ILS 25"/>
  </r>
  <r>
    <d v="2006-06-25T00:00:00"/>
    <x v="1"/>
    <s v="S"/>
    <x v="0"/>
    <s v="PA28"/>
    <x v="45"/>
    <x v="4"/>
    <s v="P1"/>
    <s v="EGNT"/>
    <x v="0"/>
    <d v="1899-12-30T09:10:00"/>
    <d v="1899-12-30T12:16:00"/>
    <d v="1899-12-30T03:06:00"/>
    <d v="1899-12-30T00:00:00"/>
    <d v="1899-12-30T00:00:00"/>
    <d v="1899-12-30T00:00:00"/>
    <m/>
    <m/>
    <m/>
    <m/>
    <n v="1.5"/>
    <m/>
    <m/>
    <d v="1899-12-30T03:06:00"/>
    <s v="S200 on departure"/>
  </r>
  <r>
    <d v="2006-07-01T00:00:00"/>
    <x v="6"/>
    <s v="S"/>
    <x v="0"/>
    <s v="DHC-1"/>
    <x v="33"/>
    <x v="4"/>
    <s v="P1"/>
    <s v="EGKA"/>
    <x v="0"/>
    <d v="1899-12-30T15:15:00"/>
    <d v="1899-12-30T16:10:00"/>
    <d v="1899-12-30T00:55:00"/>
    <d v="1899-12-30T00:00:00"/>
    <d v="1899-12-30T00:00:00"/>
    <d v="1899-12-30T00:00:00"/>
    <m/>
    <m/>
    <m/>
    <m/>
    <m/>
    <m/>
    <m/>
    <d v="1899-12-30T00:55:00"/>
    <s v="Aeros with Stu McKinnon"/>
  </r>
  <r>
    <d v="2006-07-15T00:00:00"/>
    <x v="1"/>
    <s v="S"/>
    <x v="0"/>
    <s v="PA28"/>
    <x v="42"/>
    <x v="4"/>
    <s v="P1"/>
    <s v="EGKA"/>
    <x v="0"/>
    <d v="1899-12-30T16:35:00"/>
    <d v="1899-12-30T17:12:00"/>
    <d v="1899-12-30T00:37:00"/>
    <d v="1899-12-30T00:00:00"/>
    <d v="1899-12-30T00:00:00"/>
    <d v="1899-12-30T00:00:00"/>
    <m/>
    <m/>
    <m/>
    <m/>
    <m/>
    <d v="1899-12-30T00:37:00"/>
    <m/>
    <d v="1899-12-30T00:37:00"/>
    <s v="Paul Millwright - Local + 1 + 1"/>
  </r>
  <r>
    <d v="2006-07-20T00:00:00"/>
    <x v="15"/>
    <s v="T"/>
    <x v="2"/>
    <s v="BE76"/>
    <x v="41"/>
    <x v="4"/>
    <s v="P1"/>
    <s v="LFLW"/>
    <x v="49"/>
    <d v="1899-12-30T09:35:00"/>
    <d v="1899-12-30T11:05:00"/>
    <d v="1899-12-30T00:00:00"/>
    <d v="1899-12-30T00:00:00"/>
    <d v="1899-12-30T01:30:00"/>
    <d v="1899-12-30T00:00:00"/>
    <m/>
    <m/>
    <m/>
    <m/>
    <m/>
    <m/>
    <m/>
    <d v="1899-12-30T01:30:00"/>
    <s v="Aurilliac to Saumur"/>
  </r>
  <r>
    <d v="2006-07-22T00:00:00"/>
    <x v="15"/>
    <s v="T"/>
    <x v="2"/>
    <s v="BE76"/>
    <x v="41"/>
    <x v="4"/>
    <s v="P1"/>
    <s v="LFOD"/>
    <x v="29"/>
    <d v="1899-12-30T08:00:00"/>
    <d v="1899-12-30T09:00:00"/>
    <d v="1899-12-30T00:00:00"/>
    <d v="1899-12-30T00:00:00"/>
    <d v="1899-12-30T01:00:00"/>
    <d v="1899-12-30T00:00:00"/>
    <m/>
    <m/>
    <m/>
    <m/>
    <m/>
    <m/>
    <m/>
    <d v="1899-12-30T01:00:00"/>
    <m/>
  </r>
  <r>
    <d v="2006-07-22T00:00:00"/>
    <x v="15"/>
    <s v="T"/>
    <x v="2"/>
    <s v="BE76"/>
    <x v="41"/>
    <x v="4"/>
    <s v="P1"/>
    <s v="LFRG"/>
    <x v="0"/>
    <d v="1899-12-30T09:35:00"/>
    <d v="1899-12-30T10:35:00"/>
    <d v="1899-12-30T00:00:00"/>
    <d v="1899-12-30T00:00:00"/>
    <d v="1899-12-30T01:00:00"/>
    <d v="1899-12-30T00:00:00"/>
    <m/>
    <m/>
    <m/>
    <m/>
    <m/>
    <m/>
    <m/>
    <d v="1899-12-30T01:00:00"/>
    <s v="Stormscope!!"/>
  </r>
  <r>
    <d v="2006-07-23T00:00:00"/>
    <x v="1"/>
    <s v="S"/>
    <x v="0"/>
    <s v="PA28"/>
    <x v="11"/>
    <x v="4"/>
    <s v="P1"/>
    <s v="EGKA"/>
    <x v="48"/>
    <d v="1899-12-30T11:50:00"/>
    <d v="1899-12-30T12:25:00"/>
    <d v="1899-12-30T00:35:00"/>
    <d v="1899-12-30T00:00:00"/>
    <d v="1899-12-30T00:00:00"/>
    <d v="1899-12-30T00:00:00"/>
    <m/>
    <m/>
    <m/>
    <m/>
    <m/>
    <d v="1899-12-30T00:35:00"/>
    <m/>
    <d v="1899-12-30T00:35:00"/>
    <s v="Trial Lesson"/>
  </r>
  <r>
    <d v="2006-07-23T00:00:00"/>
    <x v="1"/>
    <s v="S"/>
    <x v="0"/>
    <s v="PA28"/>
    <x v="11"/>
    <x v="4"/>
    <s v="P1"/>
    <s v="EGHN"/>
    <x v="0"/>
    <d v="1899-12-30T13:00:00"/>
    <d v="1899-12-30T13:40:00"/>
    <d v="1899-12-30T00:40:00"/>
    <d v="1899-12-30T00:00:00"/>
    <d v="1899-12-30T00:00:00"/>
    <d v="1899-12-30T00:00:00"/>
    <m/>
    <m/>
    <m/>
    <m/>
    <m/>
    <d v="1899-12-30T00:40:00"/>
    <m/>
    <d v="1899-12-30T00:40:00"/>
    <m/>
  </r>
  <r>
    <d v="2006-07-23T00:00:00"/>
    <x v="6"/>
    <s v="S"/>
    <x v="0"/>
    <s v="DHC-1"/>
    <x v="33"/>
    <x v="4"/>
    <s v="P1"/>
    <s v="EGKA"/>
    <x v="0"/>
    <d v="1899-12-30T14:15:00"/>
    <d v="1899-12-30T15:00:00"/>
    <d v="1899-12-30T00:45:00"/>
    <d v="1899-12-30T00:00:00"/>
    <d v="1899-12-30T00:00:00"/>
    <d v="1899-12-30T00:00:00"/>
    <m/>
    <m/>
    <m/>
    <m/>
    <m/>
    <m/>
    <m/>
    <d v="1899-12-30T00:45:00"/>
    <m/>
  </r>
  <r>
    <d v="2006-09-23T00:00:00"/>
    <x v="1"/>
    <s v="S"/>
    <x v="0"/>
    <s v="PA28"/>
    <x v="11"/>
    <x v="4"/>
    <s v="P1"/>
    <s v="EGKA"/>
    <x v="0"/>
    <d v="1899-12-30T11:40:00"/>
    <d v="1899-12-30T12:35:00"/>
    <d v="1899-12-30T00:55:00"/>
    <d v="1899-12-30T00:00:00"/>
    <d v="1899-12-30T00:00:00"/>
    <d v="1899-12-30T00:00:00"/>
    <m/>
    <m/>
    <m/>
    <m/>
    <m/>
    <d v="1899-12-30T00:55:00"/>
    <m/>
    <d v="1899-12-30T00:55:00"/>
    <s v="Trial Lesson"/>
  </r>
  <r>
    <d v="2006-09-23T00:00:00"/>
    <x v="1"/>
    <s v="S"/>
    <x v="0"/>
    <s v="PA28"/>
    <x v="11"/>
    <x v="4"/>
    <s v="P1"/>
    <s v="EGKA"/>
    <x v="0"/>
    <d v="1899-12-30T14:30:00"/>
    <d v="1899-12-30T15:30:00"/>
    <d v="1899-12-30T01:00:00"/>
    <d v="1899-12-30T00:00:00"/>
    <d v="1899-12-30T00:00:00"/>
    <d v="1899-12-30T00:00:00"/>
    <m/>
    <m/>
    <m/>
    <m/>
    <m/>
    <d v="1899-12-30T01:00:00"/>
    <m/>
    <d v="1899-12-30T01:00:00"/>
    <s v="Phil Stevens - Ex 4.1"/>
  </r>
  <r>
    <d v="2006-09-23T00:00:00"/>
    <x v="1"/>
    <s v="S"/>
    <x v="0"/>
    <s v="PA28"/>
    <x v="11"/>
    <x v="4"/>
    <s v="P1"/>
    <s v="EGKA"/>
    <x v="0"/>
    <d v="1899-12-30T16:15:00"/>
    <d v="1899-12-30T17:15:00"/>
    <d v="1899-12-30T01:00:00"/>
    <d v="1899-12-30T00:00:00"/>
    <d v="1899-12-30T00:00:00"/>
    <d v="1899-12-30T00:00:00"/>
    <m/>
    <m/>
    <m/>
    <m/>
    <m/>
    <d v="1899-12-30T01:00:00"/>
    <m/>
    <d v="1899-12-30T01:00:00"/>
    <s v="Hugh Tallini - Revision, Stalls, Steep Turns PFL"/>
  </r>
  <r>
    <d v="2006-09-23T00:00:00"/>
    <x v="1"/>
    <s v="S"/>
    <x v="0"/>
    <s v="PA28"/>
    <x v="11"/>
    <x v="4"/>
    <s v="P1"/>
    <s v="EGKA"/>
    <x v="0"/>
    <d v="1899-12-30T17:20:00"/>
    <d v="1899-12-30T17:50:00"/>
    <d v="1899-12-30T00:30:00"/>
    <d v="1899-12-30T00:00:00"/>
    <d v="1899-12-30T00:00:00"/>
    <d v="1899-12-30T00:00:00"/>
    <m/>
    <m/>
    <m/>
    <m/>
    <m/>
    <d v="1899-12-30T00:30:00"/>
    <m/>
    <d v="1899-12-30T00:30:00"/>
    <s v="from overhead + circuits"/>
  </r>
  <r>
    <d v="2006-09-30T00:00:00"/>
    <x v="1"/>
    <s v="S"/>
    <x v="0"/>
    <s v="PA28"/>
    <x v="11"/>
    <x v="4"/>
    <s v="P1"/>
    <s v="EGKA"/>
    <x v="0"/>
    <d v="1899-12-30T14:15:00"/>
    <d v="1899-12-30T15:10:00"/>
    <d v="1899-12-30T00:55:00"/>
    <d v="1899-12-30T00:00:00"/>
    <d v="1899-12-30T00:00:00"/>
    <d v="1899-12-30T00:00:00"/>
    <m/>
    <m/>
    <m/>
    <m/>
    <m/>
    <d v="1899-12-30T00:55:00"/>
    <m/>
    <d v="1899-12-30T00:55:00"/>
    <s v="Phil Stevens - Ex 4.2"/>
  </r>
  <r>
    <d v="2006-09-30T00:00:00"/>
    <x v="1"/>
    <s v="S"/>
    <x v="0"/>
    <s v="PA28"/>
    <x v="11"/>
    <x v="4"/>
    <s v="P1"/>
    <s v="EGKA"/>
    <x v="48"/>
    <d v="1899-12-30T15:55:00"/>
    <d v="1899-12-30T16:35:00"/>
    <d v="1899-12-30T00:40:00"/>
    <d v="1899-12-30T00:00:00"/>
    <d v="1899-12-30T00:00:00"/>
    <d v="1899-12-30T00:00:00"/>
    <m/>
    <m/>
    <m/>
    <m/>
    <m/>
    <d v="1899-12-30T00:40:00"/>
    <m/>
    <d v="1899-12-30T00:40:00"/>
    <s v="Trial Lesson"/>
  </r>
  <r>
    <d v="2006-09-30T00:00:00"/>
    <x v="1"/>
    <s v="S"/>
    <x v="0"/>
    <s v="PA28"/>
    <x v="11"/>
    <x v="4"/>
    <s v="P1"/>
    <s v="EGHN"/>
    <x v="0"/>
    <d v="1899-12-30T17:05:00"/>
    <d v="1899-12-30T17:45:00"/>
    <d v="1899-12-30T00:40:00"/>
    <d v="1899-12-30T00:00:00"/>
    <d v="1899-12-30T00:00:00"/>
    <d v="1899-12-30T00:00:00"/>
    <m/>
    <m/>
    <m/>
    <m/>
    <m/>
    <d v="1899-12-30T00:40:00"/>
    <m/>
    <d v="1899-12-30T00:40:00"/>
    <m/>
  </r>
  <r>
    <d v="2006-10-21T00:00:00"/>
    <x v="1"/>
    <s v="S"/>
    <x v="0"/>
    <s v="PA28"/>
    <x v="11"/>
    <x v="4"/>
    <s v="P1"/>
    <s v="EGKA"/>
    <x v="0"/>
    <d v="1899-12-30T11:25:00"/>
    <d v="1899-12-30T12:10:00"/>
    <d v="1899-12-30T00:45:00"/>
    <d v="1899-12-30T00:00:00"/>
    <d v="1899-12-30T00:00:00"/>
    <d v="1899-12-30T00:00:00"/>
    <m/>
    <m/>
    <m/>
    <m/>
    <m/>
    <d v="1899-12-30T00:45:00"/>
    <m/>
    <d v="1899-12-30T00:45:00"/>
    <s v="Ian King - Ex 7+8(2) - Cut Short wx"/>
  </r>
  <r>
    <d v="2006-10-21T00:00:00"/>
    <x v="1"/>
    <s v="S"/>
    <x v="0"/>
    <s v="PA28"/>
    <x v="11"/>
    <x v="4"/>
    <s v="P1"/>
    <s v="EGKA"/>
    <x v="0"/>
    <d v="1899-12-30T14:00:00"/>
    <d v="1899-12-30T15:05:00"/>
    <d v="1899-12-30T01:05:00"/>
    <d v="1899-12-30T00:00:00"/>
    <d v="1899-12-30T00:00:00"/>
    <d v="1899-12-30T00:00:00"/>
    <m/>
    <m/>
    <m/>
    <m/>
    <m/>
    <d v="1899-12-30T01:05:00"/>
    <m/>
    <d v="1899-12-30T01:05:00"/>
    <s v="Heather - Check Ride"/>
  </r>
  <r>
    <m/>
    <x v="2"/>
    <m/>
    <x v="1"/>
    <m/>
    <x v="4"/>
    <x v="1"/>
    <m/>
    <m/>
    <x v="1"/>
    <m/>
    <m/>
    <m/>
    <m/>
    <m/>
    <m/>
    <m/>
    <m/>
    <m/>
    <m/>
    <m/>
    <m/>
    <m/>
    <m/>
    <m/>
  </r>
  <r>
    <d v="2009-07-05T00:00:00"/>
    <x v="1"/>
    <s v="S"/>
    <x v="0"/>
    <s v="PA28"/>
    <x v="7"/>
    <x v="8"/>
    <s v="PUT"/>
    <s v="EGKA"/>
    <x v="11"/>
    <d v="1899-12-30T08:20:00"/>
    <d v="1899-12-30T09:35:00"/>
    <d v="1899-12-30T00:00:00"/>
    <d v="1899-12-30T01:15:00"/>
    <d v="1899-12-30T00:00:00"/>
    <d v="1899-12-30T00:00:00"/>
    <m/>
    <m/>
    <m/>
    <m/>
    <m/>
    <m/>
    <m/>
    <d v="1899-12-30T01:15:00"/>
    <s v="SEP Rating to Bembridge - 8+1"/>
  </r>
  <r>
    <d v="2009-07-05T00:00:00"/>
    <x v="1"/>
    <s v="S"/>
    <x v="0"/>
    <s v="PA28"/>
    <x v="7"/>
    <x v="8"/>
    <s v="PUT"/>
    <s v="EGHJ"/>
    <x v="0"/>
    <d v="1899-12-30T10:15:00"/>
    <d v="1899-12-30T11:00:00"/>
    <d v="1899-12-30T00:00:00"/>
    <d v="1899-12-30T00:45:00"/>
    <d v="1899-12-30T00:00:00"/>
    <d v="1899-12-30T00:00:00"/>
    <m/>
    <m/>
    <m/>
    <m/>
    <m/>
    <m/>
    <m/>
    <d v="1899-12-30T00:45:00"/>
    <s v="Return flight - PFL to land  over shoreham"/>
  </r>
  <r>
    <d v="2010-07-02T00:00:00"/>
    <x v="1"/>
    <s v="S"/>
    <x v="0"/>
    <s v="PA28"/>
    <x v="46"/>
    <x v="25"/>
    <s v="PUT"/>
    <s v="EGKA"/>
    <x v="0"/>
    <d v="1899-12-30T15:00:00"/>
    <d v="1899-12-30T16:10:00"/>
    <d v="1899-12-30T00:00:00"/>
    <d v="1899-12-30T01:10:00"/>
    <d v="1899-12-30T00:00:00"/>
    <d v="1899-12-30T00:00:00"/>
    <m/>
    <m/>
    <m/>
    <m/>
    <m/>
    <m/>
    <m/>
    <d v="1899-12-30T01:10:00"/>
    <s v="Check ride with Chris Batt"/>
  </r>
  <r>
    <d v="2010-07-03T00:00:00"/>
    <x v="1"/>
    <s v="S"/>
    <x v="0"/>
    <s v="PA28"/>
    <x v="46"/>
    <x v="4"/>
    <s v="P1"/>
    <s v="EGKA"/>
    <x v="11"/>
    <d v="1899-12-30T10:35:00"/>
    <d v="1899-12-30T11:15:00"/>
    <d v="1899-12-30T00:40:00"/>
    <d v="1899-12-30T00:00:00"/>
    <d v="1899-12-30T00:00:00"/>
    <d v="1899-12-30T00:00:00"/>
    <m/>
    <m/>
    <m/>
    <m/>
    <m/>
    <m/>
    <m/>
    <d v="1899-12-30T00:40:00"/>
    <s v="Lunch at the Propellor with H"/>
  </r>
  <r>
    <d v="2010-07-03T00:00:00"/>
    <x v="1"/>
    <s v="S"/>
    <x v="0"/>
    <s v="PA28"/>
    <x v="46"/>
    <x v="4"/>
    <s v="P1"/>
    <s v="EGHJ"/>
    <x v="0"/>
    <d v="1899-12-30T12:35:00"/>
    <d v="1899-12-30T13:10:00"/>
    <d v="1899-12-30T00:35:00"/>
    <d v="1899-12-30T00:00:00"/>
    <d v="1899-12-30T00:00:00"/>
    <d v="1899-12-30T00:00:00"/>
    <m/>
    <m/>
    <m/>
    <m/>
    <m/>
    <m/>
    <m/>
    <d v="1899-12-30T00:35:00"/>
    <m/>
  </r>
  <r>
    <d v="2010-07-10T00:00:00"/>
    <x v="1"/>
    <s v="S"/>
    <x v="0"/>
    <s v="PA28"/>
    <x v="8"/>
    <x v="4"/>
    <s v="P1"/>
    <s v="EKGA"/>
    <x v="30"/>
    <d v="1899-12-30T14:00:00"/>
    <d v="1899-12-30T15:30:00"/>
    <d v="1899-12-30T01:30:00"/>
    <d v="1899-12-30T00:00:00"/>
    <d v="1899-12-30T00:00:00"/>
    <d v="1899-12-30T00:00:00"/>
    <m/>
    <m/>
    <m/>
    <m/>
    <m/>
    <m/>
    <m/>
    <d v="1899-12-30T01:30:00"/>
    <m/>
  </r>
  <r>
    <d v="2010-07-11T00:00:00"/>
    <x v="1"/>
    <s v="S"/>
    <x v="0"/>
    <s v="PA28"/>
    <x v="8"/>
    <x v="4"/>
    <s v="P1"/>
    <s v="EGFF"/>
    <x v="17"/>
    <d v="1899-12-30T09:20:00"/>
    <d v="1899-12-30T10:25:00"/>
    <d v="1899-12-30T01:05:00"/>
    <d v="1899-12-30T00:00:00"/>
    <d v="1899-12-30T00:00:00"/>
    <d v="1899-12-30T00:00:00"/>
    <m/>
    <m/>
    <m/>
    <m/>
    <m/>
    <m/>
    <m/>
    <d v="1899-12-30T01:05:00"/>
    <m/>
  </r>
  <r>
    <d v="2010-07-11T00:00:00"/>
    <x v="1"/>
    <s v="S"/>
    <x v="0"/>
    <s v="PA28"/>
    <x v="8"/>
    <x v="4"/>
    <s v="P1"/>
    <s v="EGLK"/>
    <x v="0"/>
    <d v="1899-12-30T10:40:00"/>
    <d v="1899-12-30T11:15:00"/>
    <d v="1899-12-30T00:35:00"/>
    <d v="1899-12-30T00:00:00"/>
    <d v="1899-12-30T00:00:00"/>
    <d v="1899-12-30T00:00:00"/>
    <m/>
    <m/>
    <m/>
    <m/>
    <m/>
    <m/>
    <m/>
    <d v="1899-12-30T00:35:00"/>
    <m/>
  </r>
  <r>
    <d v="2010-08-28T00:00:00"/>
    <x v="1"/>
    <s v="S"/>
    <x v="0"/>
    <s v="PA28"/>
    <x v="8"/>
    <x v="4"/>
    <s v="P1"/>
    <s v="EGKA"/>
    <x v="26"/>
    <d v="1899-12-30T11:15:00"/>
    <d v="1899-12-30T13:20:00"/>
    <d v="1899-12-30T02:05:00"/>
    <d v="1899-12-30T00:00:00"/>
    <d v="1899-12-30T00:00:00"/>
    <d v="1899-12-30T00:00:00"/>
    <m/>
    <m/>
    <m/>
    <m/>
    <m/>
    <m/>
    <m/>
    <d v="1899-12-30T02:05:00"/>
    <s v="Sleap to see Rob &amp; Jo"/>
  </r>
  <r>
    <d v="2010-08-29T00:00:00"/>
    <x v="1"/>
    <s v="S"/>
    <x v="0"/>
    <s v="PA28"/>
    <x v="8"/>
    <x v="4"/>
    <s v="P1"/>
    <s v="EGCV"/>
    <x v="0"/>
    <d v="1899-12-30T09:50:00"/>
    <d v="1899-12-30T11:25:00"/>
    <d v="1899-12-30T01:35:00"/>
    <d v="1899-12-30T00:00:00"/>
    <d v="1899-12-30T00:00:00"/>
    <d v="1899-12-30T00:00:00"/>
    <m/>
    <m/>
    <m/>
    <m/>
    <m/>
    <m/>
    <m/>
    <d v="1899-12-30T01:35:00"/>
    <s v="Shower avoidance!!"/>
  </r>
  <r>
    <d v="2010-10-16T00:00:00"/>
    <x v="1"/>
    <s v="S"/>
    <x v="0"/>
    <s v="PA28"/>
    <x v="42"/>
    <x v="4"/>
    <s v="P1"/>
    <s v="EGKA"/>
    <x v="0"/>
    <d v="1899-12-30T14:20:00"/>
    <d v="1899-12-30T14:55:00"/>
    <d v="1899-12-30T00:35:00"/>
    <d v="1899-12-30T00:00:00"/>
    <d v="1899-12-30T00:00:00"/>
    <d v="1899-12-30T00:00:00"/>
    <m/>
    <m/>
    <m/>
    <m/>
    <m/>
    <m/>
    <m/>
    <d v="1899-12-30T00:35:00"/>
    <s v="1 circuit"/>
  </r>
  <r>
    <d v="2010-10-16T00:00:00"/>
    <x v="1"/>
    <s v="S"/>
    <x v="0"/>
    <s v="PA28"/>
    <x v="42"/>
    <x v="4"/>
    <s v="P1"/>
    <s v="EGKA"/>
    <x v="9"/>
    <d v="1899-12-30T15:10:00"/>
    <d v="1899-12-30T16:45:00"/>
    <d v="1899-12-30T01:35:00"/>
    <d v="1899-12-30T00:00:00"/>
    <d v="1899-12-30T00:00:00"/>
    <d v="1899-12-30T00:00:00"/>
    <m/>
    <m/>
    <m/>
    <m/>
    <m/>
    <m/>
    <m/>
    <d v="1899-12-30T01:35:00"/>
    <m/>
  </r>
  <r>
    <d v="2010-10-17T00:00:00"/>
    <x v="1"/>
    <s v="S"/>
    <x v="0"/>
    <s v="PA28"/>
    <x v="42"/>
    <x v="4"/>
    <s v="P1"/>
    <s v="EGBW"/>
    <x v="0"/>
    <d v="1899-12-30T14:45:00"/>
    <d v="1899-12-30T16:00:00"/>
    <d v="1899-12-30T01:15:00"/>
    <d v="1899-12-30T00:00:00"/>
    <d v="1899-12-30T00:00:00"/>
    <d v="1899-12-30T00:00:00"/>
    <m/>
    <m/>
    <m/>
    <m/>
    <m/>
    <m/>
    <m/>
    <d v="1899-12-30T01:15:00"/>
    <m/>
  </r>
  <r>
    <d v="2010-10-30T00:00:00"/>
    <x v="1"/>
    <s v="S"/>
    <x v="0"/>
    <s v="PA28"/>
    <x v="8"/>
    <x v="8"/>
    <s v="PUT"/>
    <s v="EGKA"/>
    <x v="0"/>
    <d v="1899-12-30T10:55:00"/>
    <d v="1899-12-30T12:15:00"/>
    <d v="1899-12-30T00:00:00"/>
    <d v="1899-12-30T01:20:00"/>
    <d v="1899-12-30T00:00:00"/>
    <d v="1899-12-30T00:00:00"/>
    <m/>
    <m/>
    <m/>
    <m/>
    <m/>
    <m/>
    <m/>
    <d v="1899-12-30T01:20:00"/>
    <s v="IMC Renewal - VOR Soton, NDB/DME 02 Vic C 20"/>
  </r>
  <r>
    <d v="2010-10-30T00:00:00"/>
    <x v="1"/>
    <s v="S"/>
    <x v="0"/>
    <s v="PA28"/>
    <x v="46"/>
    <x v="4"/>
    <s v="P1"/>
    <s v="EGKA"/>
    <x v="0"/>
    <d v="1899-12-30T14:40:00"/>
    <d v="1899-12-30T15:20:00"/>
    <d v="1899-12-30T00:40:00"/>
    <d v="1899-12-30T00:00:00"/>
    <d v="1899-12-30T00:00:00"/>
    <d v="1899-12-30T00:00:00"/>
    <m/>
    <m/>
    <m/>
    <m/>
    <m/>
    <m/>
    <m/>
    <d v="1899-12-30T00:40:00"/>
    <m/>
  </r>
  <r>
    <d v="2011-05-22T00:00:00"/>
    <x v="1"/>
    <s v="S"/>
    <x v="0"/>
    <s v="PA28"/>
    <x v="46"/>
    <x v="25"/>
    <s v="PUT"/>
    <s v="EGKA"/>
    <x v="0"/>
    <d v="1899-12-30T15:30:00"/>
    <d v="1899-12-30T16:35:00"/>
    <d v="1899-12-30T00:00:00"/>
    <d v="1899-12-30T01:05:00"/>
    <d v="1899-12-30T00:00:00"/>
    <d v="1899-12-30T00:00:00"/>
    <m/>
    <m/>
    <m/>
    <m/>
    <m/>
    <m/>
    <m/>
    <d v="1899-12-30T01:05:00"/>
    <s v="Check Ride 1+1"/>
  </r>
  <r>
    <d v="2011-08-27T00:00:00"/>
    <x v="1"/>
    <s v="S"/>
    <x v="0"/>
    <s v="PA28"/>
    <x v="46"/>
    <x v="4"/>
    <s v="P1"/>
    <s v="EGKA"/>
    <x v="0"/>
    <d v="1899-12-30T09:05:00"/>
    <d v="1899-12-30T10:45:00"/>
    <d v="1899-12-30T01:40:00"/>
    <d v="1899-12-30T00:00:00"/>
    <d v="1899-12-30T00:00:00"/>
    <d v="1899-12-30T00:00:00"/>
    <m/>
    <m/>
    <m/>
    <m/>
    <m/>
    <m/>
    <m/>
    <d v="1899-12-30T01:40:00"/>
    <s v="Flight test with Adrian Wilton (2+1)"/>
  </r>
  <r>
    <d v="2011-08-29T00:00:00"/>
    <x v="1"/>
    <s v="S"/>
    <x v="0"/>
    <s v="PA28"/>
    <x v="46"/>
    <x v="4"/>
    <s v="P1"/>
    <s v="EGKA"/>
    <x v="23"/>
    <d v="1899-12-30T10:15:00"/>
    <d v="1899-12-30T11:15:00"/>
    <d v="1899-12-30T01:00:00"/>
    <d v="1899-12-30T00:00:00"/>
    <d v="1899-12-30T00:00:00"/>
    <d v="1899-12-30T00:00:00"/>
    <m/>
    <m/>
    <m/>
    <m/>
    <m/>
    <m/>
    <m/>
    <d v="1899-12-30T01:00:00"/>
    <s v="Lunch at Golf Club with H"/>
  </r>
  <r>
    <d v="2011-08-29T00:00:00"/>
    <x v="1"/>
    <s v="S"/>
    <x v="0"/>
    <s v="PA28"/>
    <x v="46"/>
    <x v="4"/>
    <s v="P1"/>
    <s v="EGSR"/>
    <x v="0"/>
    <d v="1899-12-30T12:40:00"/>
    <d v="1899-12-30T13:45:00"/>
    <d v="1899-12-30T01:05:00"/>
    <d v="1899-12-30T00:00:00"/>
    <d v="1899-12-30T00:00:00"/>
    <d v="1899-12-30T00:00:00"/>
    <m/>
    <m/>
    <m/>
    <m/>
    <m/>
    <m/>
    <m/>
    <d v="1899-12-30T01:05:00"/>
    <m/>
  </r>
  <r>
    <d v="2011-10-16T00:00:00"/>
    <x v="1"/>
    <s v="S"/>
    <x v="0"/>
    <s v="PA28"/>
    <x v="46"/>
    <x v="4"/>
    <s v="P1"/>
    <s v="EGKA"/>
    <x v="30"/>
    <d v="1899-12-30T10:35:00"/>
    <d v="1899-12-30T12:10:00"/>
    <d v="1899-12-30T01:35:00"/>
    <d v="1899-12-30T00:00:00"/>
    <d v="1899-12-30T00:00:00"/>
    <d v="1899-12-30T00:00:00"/>
    <m/>
    <m/>
    <m/>
    <m/>
    <n v="0.2"/>
    <m/>
    <m/>
    <d v="1899-12-30T01:35:00"/>
    <s v="Lunch with C+J - ILS into Cardiff"/>
  </r>
  <r>
    <d v="2011-10-16T00:00:00"/>
    <x v="1"/>
    <s v="S"/>
    <x v="0"/>
    <s v="PA28"/>
    <x v="46"/>
    <x v="4"/>
    <s v="P1"/>
    <s v="EGFF"/>
    <x v="0"/>
    <d v="1899-12-30T15:10:00"/>
    <d v="1899-12-30T16:35:00"/>
    <d v="1899-12-30T01:25:00"/>
    <d v="1899-12-30T00:00:00"/>
    <d v="1899-12-30T00:00:00"/>
    <d v="1899-12-30T00:00:00"/>
    <m/>
    <m/>
    <m/>
    <m/>
    <m/>
    <m/>
    <m/>
    <d v="1899-12-30T01:25:00"/>
    <m/>
  </r>
  <r>
    <d v="2012-09-24T00:00:00"/>
    <x v="1"/>
    <s v="S"/>
    <x v="0"/>
    <s v="PA28"/>
    <x v="46"/>
    <x v="8"/>
    <s v="PUT"/>
    <s v="EGKA"/>
    <x v="0"/>
    <d v="1899-12-30T15:10:00"/>
    <d v="1899-12-30T15:50:00"/>
    <d v="1899-12-30T00:00:00"/>
    <d v="1899-12-30T00:40:00"/>
    <d v="1899-12-30T00:00:00"/>
    <d v="1899-12-30T00:00:00"/>
    <m/>
    <m/>
    <m/>
    <m/>
    <m/>
    <m/>
    <m/>
    <d v="1899-12-30T00:40:00"/>
    <m/>
  </r>
  <r>
    <d v="2013-09-07T00:00:00"/>
    <x v="6"/>
    <s v="S"/>
    <x v="0"/>
    <s v="DHC-1"/>
    <x v="33"/>
    <x v="8"/>
    <s v="PUT"/>
    <s v="EGKA"/>
    <x v="0"/>
    <d v="1899-12-30T15:55:00"/>
    <d v="1899-12-30T16:55:00"/>
    <d v="1899-12-30T00:00:00"/>
    <d v="1899-12-30T01:00:00"/>
    <d v="1899-12-30T00:00:00"/>
    <d v="1899-12-30T00:00:00"/>
    <m/>
    <m/>
    <m/>
    <m/>
    <m/>
    <m/>
    <m/>
    <d v="1899-12-30T01:00:00"/>
    <m/>
  </r>
  <r>
    <d v="2021-05-09T00:00:00"/>
    <x v="1"/>
    <s v="S"/>
    <x v="0"/>
    <s v="PA28"/>
    <x v="47"/>
    <x v="26"/>
    <s v="PUT"/>
    <s v="EGTF"/>
    <x v="27"/>
    <d v="1899-12-30T08:45:00"/>
    <d v="1899-12-30T09:45:00"/>
    <d v="1899-12-30T00:00:00"/>
    <d v="1899-12-30T01:00:00"/>
    <d v="1899-12-30T00:00:00"/>
    <d v="1899-12-30T00:00:00"/>
    <m/>
    <m/>
    <m/>
    <m/>
    <m/>
    <m/>
    <m/>
    <d v="1899-12-30T01:00:00"/>
    <s v="First flight for a while.  Handling (3+1)"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  <r>
    <m/>
    <x v="18"/>
    <e v="#N/A"/>
    <x v="4"/>
    <s v=""/>
    <x v="4"/>
    <x v="1"/>
    <s v=""/>
    <m/>
    <x v="1"/>
    <m/>
    <m/>
    <d v="1899-12-30T00:00:00"/>
    <d v="1899-12-30T00:00:00"/>
    <d v="1899-12-30T00:00:00"/>
    <d v="1899-12-30T00:00:00"/>
    <m/>
    <m/>
    <m/>
    <m/>
    <m/>
    <m/>
    <m/>
    <d v="1899-12-30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dataOnRows="1" applyNumberFormats="0" applyBorderFormats="0" applyFontFormats="0" applyPatternFormats="0" applyAlignmentFormats="0" applyWidthHeightFormats="1" dataCaption="Data" updatedVersion="7" minRefreshableVersion="3" asteriskTotals="1" showMultipleLabel="0" showMemberPropertyTips="0" itemPrintTitles="1" createdVersion="7" indent="0" compact="0" compactData="0" gridDropZones="1">
  <location ref="A3:AD23" firstHeaderRow="1" firstDataRow="2" firstDataCol="3"/>
  <pivotFields count="25">
    <pivotField compact="0" outline="0" subtotalTop="0" showAll="0" includeNewItemsInFilter="1"/>
    <pivotField axis="axisRow" compact="0" outline="0" subtotalTop="0" showAll="0" includeNewItemsInFilter="1" sortType="descending" rankBy="0">
      <items count="20">
        <item sd="0" x="4"/>
        <item sd="0" x="5"/>
        <item sd="0" x="15"/>
        <item sd="0" x="0"/>
        <item sd="0" x="14"/>
        <item sd="0" x="6"/>
        <item h="1" x="9"/>
        <item sd="0" x="16"/>
        <item sd="0" x="10"/>
        <item sd="0" x="1"/>
        <item sd="0" x="3"/>
        <item sd="0" x="11"/>
        <item sd="0" x="8"/>
        <item sd="0" x="7"/>
        <item sd="0" x="12"/>
        <item sd="0" x="13"/>
        <item h="1" x="18"/>
        <item h="1" x="2"/>
        <item sd="0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name="Engines" axis="axisRow" compact="0" outline="0" subtotalTop="0" showAll="0" includeNewItemsInFilter="1" sortType="descending" rankBy="0">
      <items count="6">
        <item x="4"/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axis="axisRow" compact="0" outline="0" subtotalTop="0" showAll="0" includeNewItemsInFilter="1" sortType="descending" rankBy="0">
      <items count="50">
        <item x="13"/>
        <item x="28"/>
        <item x="14"/>
        <item x="16"/>
        <item x="31"/>
        <item x="40"/>
        <item x="5"/>
        <item x="34"/>
        <item x="39"/>
        <item x="22"/>
        <item x="3"/>
        <item x="38"/>
        <item x="1"/>
        <item x="9"/>
        <item x="8"/>
        <item x="7"/>
        <item x="10"/>
        <item x="2"/>
        <item x="26"/>
        <item x="23"/>
        <item x="36"/>
        <item x="12"/>
        <item x="27"/>
        <item x="42"/>
        <item x="37"/>
        <item x="33"/>
        <item x="15"/>
        <item x="17"/>
        <item x="11"/>
        <item x="41"/>
        <item x="19"/>
        <item x="35"/>
        <item x="30"/>
        <item x="0"/>
        <item x="24"/>
        <item x="6"/>
        <item x="32"/>
        <item x="25"/>
        <item x="20"/>
        <item x="43"/>
        <item x="21"/>
        <item x="18"/>
        <item h="1" x="29"/>
        <item h="1" x="4"/>
        <item x="44"/>
        <item x="45"/>
        <item m="1" x="48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ubtotalTop="0" showAll="0" includeNewItemsInFilter="1" sortType="descending" rankBy="0">
      <items count="31">
        <item x="23"/>
        <item x="5"/>
        <item x="18"/>
        <item x="10"/>
        <item x="22"/>
        <item x="15"/>
        <item x="20"/>
        <item x="13"/>
        <item x="11"/>
        <item x="2"/>
        <item m="1" x="27"/>
        <item x="0"/>
        <item x="14"/>
        <item x="7"/>
        <item x="9"/>
        <item x="6"/>
        <item x="12"/>
        <item x="4"/>
        <item x="19"/>
        <item x="8"/>
        <item x="17"/>
        <item x="16"/>
        <item x="21"/>
        <item h="1" x="1"/>
        <item x="3"/>
        <item x="24"/>
        <item m="1" x="29"/>
        <item x="25"/>
        <item m="1" x="28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numFmtId="20" outline="0" subtotalTop="0" showAll="0" includeNewItemsInFilter="1"/>
    <pivotField compact="0" outline="0" subtotalTop="0" showAll="0" includeNewItemsInFilter="1"/>
  </pivotFields>
  <rowFields count="3">
    <field x="3"/>
    <field x="1"/>
    <field x="5"/>
  </rowFields>
  <rowItems count="19">
    <i>
      <x v="1"/>
      <x v="9"/>
    </i>
    <i r="1">
      <x v="10"/>
    </i>
    <i r="1">
      <x v="5"/>
    </i>
    <i r="1">
      <x v="1"/>
    </i>
    <i r="1">
      <x v="11"/>
    </i>
    <i r="1">
      <x v="14"/>
    </i>
    <i r="1">
      <x v="12"/>
    </i>
    <i r="1">
      <x v="3"/>
    </i>
    <i r="1">
      <x v="15"/>
    </i>
    <i r="1">
      <x/>
    </i>
    <i r="1">
      <x v="7"/>
    </i>
    <i r="1">
      <x v="4"/>
    </i>
    <i r="1">
      <x v="18"/>
    </i>
    <i t="default">
      <x v="1"/>
    </i>
    <i>
      <x v="3"/>
      <x v="13"/>
    </i>
    <i r="1">
      <x v="2"/>
    </i>
    <i r="1">
      <x v="8"/>
    </i>
    <i t="default">
      <x v="3"/>
    </i>
    <i t="grand">
      <x/>
    </i>
  </rowItems>
  <colFields count="1">
    <field x="6"/>
  </colFields>
  <colItems count="27">
    <i>
      <x v="17"/>
    </i>
    <i>
      <x v="12"/>
    </i>
    <i>
      <x v="18"/>
    </i>
    <i>
      <x v="11"/>
    </i>
    <i>
      <x v="2"/>
    </i>
    <i>
      <x v="13"/>
    </i>
    <i>
      <x v="19"/>
    </i>
    <i>
      <x v="3"/>
    </i>
    <i>
      <x v="6"/>
    </i>
    <i>
      <x v="16"/>
    </i>
    <i>
      <x v="1"/>
    </i>
    <i>
      <x v="5"/>
    </i>
    <i>
      <x v="15"/>
    </i>
    <i>
      <x v="7"/>
    </i>
    <i>
      <x v="4"/>
    </i>
    <i>
      <x v="22"/>
    </i>
    <i>
      <x v="20"/>
    </i>
    <i>
      <x v="21"/>
    </i>
    <i>
      <x v="27"/>
    </i>
    <i>
      <x v="9"/>
    </i>
    <i>
      <x v="8"/>
    </i>
    <i>
      <x v="25"/>
    </i>
    <i>
      <x v="14"/>
    </i>
    <i>
      <x v="29"/>
    </i>
    <i>
      <x/>
    </i>
    <i>
      <x v="24"/>
    </i>
    <i t="grand">
      <x/>
    </i>
  </colItems>
  <dataFields count="1">
    <dataField name="Sum of Flight Time" fld="23" baseField="0" baseItem="0" numFmtId="164"/>
  </dataFields>
  <formats count="25">
    <format dxfId="51">
      <pivotArea dataOnly="0" labelOnly="1" outline="0" fieldPosition="0">
        <references count="1">
          <reference field="6" count="1">
            <x v="17"/>
          </reference>
        </references>
      </pivotArea>
    </format>
    <format dxfId="50">
      <pivotArea dataOnly="0" labelOnly="1" outline="0" fieldPosition="0">
        <references count="1">
          <reference field="6" count="1">
            <x v="12"/>
          </reference>
        </references>
      </pivotArea>
    </format>
    <format dxfId="49">
      <pivotArea dataOnly="0" labelOnly="1" outline="0" fieldPosition="0">
        <references count="1">
          <reference field="6" count="1">
            <x v="18"/>
          </reference>
        </references>
      </pivotArea>
    </format>
    <format dxfId="48">
      <pivotArea dataOnly="0" labelOnly="1" outline="0" fieldPosition="0">
        <references count="1">
          <reference field="6" count="1">
            <x v="11"/>
          </reference>
        </references>
      </pivotArea>
    </format>
    <format dxfId="47">
      <pivotArea dataOnly="0" labelOnly="1" outline="0" fieldPosition="0">
        <references count="1">
          <reference field="6" count="1">
            <x v="2"/>
          </reference>
        </references>
      </pivotArea>
    </format>
    <format dxfId="46">
      <pivotArea dataOnly="0" labelOnly="1" outline="0" fieldPosition="0">
        <references count="1">
          <reference field="6" count="1">
            <x v="13"/>
          </reference>
        </references>
      </pivotArea>
    </format>
    <format dxfId="45">
      <pivotArea dataOnly="0" labelOnly="1" outline="0" fieldPosition="0">
        <references count="1">
          <reference field="6" count="1">
            <x v="19"/>
          </reference>
        </references>
      </pivotArea>
    </format>
    <format dxfId="44">
      <pivotArea dataOnly="0" labelOnly="1" outline="0" fieldPosition="0">
        <references count="1">
          <reference field="6" count="1">
            <x v="3"/>
          </reference>
        </references>
      </pivotArea>
    </format>
    <format dxfId="43">
      <pivotArea dataOnly="0" labelOnly="1" outline="0" fieldPosition="0">
        <references count="1">
          <reference field="6" count="1">
            <x v="6"/>
          </reference>
        </references>
      </pivotArea>
    </format>
    <format dxfId="42">
      <pivotArea dataOnly="0" labelOnly="1" outline="0" fieldPosition="0">
        <references count="1">
          <reference field="6" count="1">
            <x v="16"/>
          </reference>
        </references>
      </pivotArea>
    </format>
    <format dxfId="41">
      <pivotArea dataOnly="0" labelOnly="1" outline="0" fieldPosition="0">
        <references count="1">
          <reference field="6" count="1">
            <x v="1"/>
          </reference>
        </references>
      </pivotArea>
    </format>
    <format dxfId="40">
      <pivotArea dataOnly="0" labelOnly="1" outline="0" fieldPosition="0">
        <references count="1">
          <reference field="6" count="1">
            <x v="5"/>
          </reference>
        </references>
      </pivotArea>
    </format>
    <format dxfId="39">
      <pivotArea dataOnly="0" labelOnly="1" outline="0" fieldPosition="0">
        <references count="1">
          <reference field="6" count="1">
            <x v="15"/>
          </reference>
        </references>
      </pivotArea>
    </format>
    <format dxfId="38">
      <pivotArea dataOnly="0" labelOnly="1" outline="0" fieldPosition="0">
        <references count="1">
          <reference field="6" count="1">
            <x v="7"/>
          </reference>
        </references>
      </pivotArea>
    </format>
    <format dxfId="37">
      <pivotArea dataOnly="0" labelOnly="1" outline="0" fieldPosition="0">
        <references count="1">
          <reference field="6" count="1">
            <x v="4"/>
          </reference>
        </references>
      </pivotArea>
    </format>
    <format dxfId="36">
      <pivotArea dataOnly="0" labelOnly="1" outline="0" fieldPosition="0">
        <references count="1">
          <reference field="6" count="1">
            <x v="21"/>
          </reference>
        </references>
      </pivotArea>
    </format>
    <format dxfId="35">
      <pivotArea dataOnly="0" labelOnly="1" outline="0" fieldPosition="0">
        <references count="1">
          <reference field="6" count="1">
            <x v="20"/>
          </reference>
        </references>
      </pivotArea>
    </format>
    <format dxfId="34">
      <pivotArea dataOnly="0" labelOnly="1" outline="0" fieldPosition="0">
        <references count="1">
          <reference field="6" count="1">
            <x v="9"/>
          </reference>
        </references>
      </pivotArea>
    </format>
    <format dxfId="33">
      <pivotArea dataOnly="0" labelOnly="1" outline="0" fieldPosition="0">
        <references count="1">
          <reference field="6" count="1">
            <x v="22"/>
          </reference>
        </references>
      </pivotArea>
    </format>
    <format dxfId="32">
      <pivotArea dataOnly="0" labelOnly="1" outline="0" fieldPosition="0">
        <references count="1">
          <reference field="6" count="1">
            <x v="8"/>
          </reference>
        </references>
      </pivotArea>
    </format>
    <format dxfId="31">
      <pivotArea dataOnly="0" labelOnly="1" outline="0" fieldPosition="0">
        <references count="1">
          <reference field="6" count="1">
            <x v="14"/>
          </reference>
        </references>
      </pivotArea>
    </format>
    <format dxfId="30">
      <pivotArea dataOnly="0" labelOnly="1" outline="0" fieldPosition="0">
        <references count="1">
          <reference field="6" count="1">
            <x v="0"/>
          </reference>
        </references>
      </pivotArea>
    </format>
    <format dxfId="29">
      <pivotArea dataOnly="0" labelOnly="1" outline="0" fieldPosition="0">
        <references count="1">
          <reference field="6" count="1">
            <x v="10"/>
          </reference>
        </references>
      </pivotArea>
    </format>
    <format dxfId="28">
      <pivotArea dataOnly="0" labelOnly="1" grandCol="1" outline="0" fieldPosition="0"/>
    </format>
    <format dxfId="27">
      <pivotArea dataOnly="0" labelOnly="1" outline="0" fieldPosition="0">
        <references count="1">
          <reference field="6" count="1">
            <x v="2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dataOnRows="1" applyNumberFormats="0" applyBorderFormats="0" applyFontFormats="0" applyPatternFormats="0" applyAlignmentFormats="0" applyWidthHeightFormats="1" dataCaption="Data" updatedVersion="7" minRefreshableVersion="3" asteriskTotals="1" showMultipleLabel="0" showMemberPropertyTips="0" itemPrintTitles="1" createdVersion="7" indent="0" compact="0" compactData="0" gridDropZones="1">
  <location ref="A3:S53" firstHeaderRow="1" firstDataRow="2" firstDataCol="2"/>
  <pivotFields count="25">
    <pivotField compact="0" outline="0" subtotalTop="0" showAll="0" includeNewItemsInFilter="1"/>
    <pivotField axis="axisCol" dataField="1" compact="0" outline="0" subtotalTop="0" showAll="0" includeNewItemsInFilter="1" sortType="descending" rankBy="0">
      <items count="20">
        <item sd="0" x="4"/>
        <item sd="0" x="5"/>
        <item sd="0" x="15"/>
        <item sd="0" x="0"/>
        <item sd="0" x="14"/>
        <item sd="0" x="6"/>
        <item h="1" x="9"/>
        <item sd="0" x="16"/>
        <item sd="0" x="10"/>
        <item sd="0" x="1"/>
        <item sd="0" x="3"/>
        <item sd="0" x="11"/>
        <item sd="0" x="8"/>
        <item sd="0" x="7"/>
        <item sd="0" x="12"/>
        <item sd="0" x="13"/>
        <item h="1" x="18"/>
        <item h="1" x="2"/>
        <item sd="0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name="Engines" axis="axisRow" compact="0" outline="0" subtotalTop="0" showAll="0" includeNewItemsInFilter="1">
      <items count="6">
        <item x="4"/>
        <item x="0"/>
        <item x="3"/>
        <item x="2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sortType="descending" rankBy="0">
      <items count="50">
        <item x="13"/>
        <item x="28"/>
        <item x="14"/>
        <item x="16"/>
        <item x="31"/>
        <item x="40"/>
        <item x="5"/>
        <item x="34"/>
        <item x="39"/>
        <item x="22"/>
        <item x="3"/>
        <item x="38"/>
        <item x="1"/>
        <item x="9"/>
        <item x="8"/>
        <item x="7"/>
        <item x="10"/>
        <item x="2"/>
        <item x="26"/>
        <item x="23"/>
        <item x="36"/>
        <item x="12"/>
        <item x="27"/>
        <item x="42"/>
        <item x="37"/>
        <item x="33"/>
        <item x="15"/>
        <item x="17"/>
        <item x="11"/>
        <item x="41"/>
        <item x="19"/>
        <item x="35"/>
        <item x="30"/>
        <item x="0"/>
        <item x="24"/>
        <item x="6"/>
        <item x="32"/>
        <item x="25"/>
        <item x="20"/>
        <item x="43"/>
        <item x="21"/>
        <item x="18"/>
        <item h="1" x="29"/>
        <item h="1" x="4"/>
        <item x="44"/>
        <item x="45"/>
        <item m="1" x="48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0" outline="0" subtotalTop="0" showAll="0" includeNewItemsInFilter="1"/>
    <pivotField compact="0" outline="0" subtotalTop="0" showAll="0" includeNewItemsInFilter="1"/>
  </pivotFields>
  <rowFields count="2">
    <field x="3"/>
    <field x="5"/>
  </rowFields>
  <rowItems count="49">
    <i>
      <x v="1"/>
      <x v="28"/>
    </i>
    <i r="1">
      <x v="25"/>
    </i>
    <i r="1">
      <x/>
    </i>
    <i r="1">
      <x v="14"/>
    </i>
    <i r="1">
      <x v="13"/>
    </i>
    <i r="1">
      <x v="16"/>
    </i>
    <i r="1">
      <x v="19"/>
    </i>
    <i r="1">
      <x v="27"/>
    </i>
    <i r="1">
      <x v="18"/>
    </i>
    <i r="1">
      <x v="7"/>
    </i>
    <i r="1">
      <x v="24"/>
    </i>
    <i r="1">
      <x v="47"/>
    </i>
    <i r="1">
      <x v="38"/>
    </i>
    <i r="1">
      <x v="9"/>
    </i>
    <i r="1">
      <x v="21"/>
    </i>
    <i r="1">
      <x v="35"/>
    </i>
    <i r="1">
      <x v="23"/>
    </i>
    <i r="1">
      <x v="26"/>
    </i>
    <i r="1">
      <x v="15"/>
    </i>
    <i r="1">
      <x v="22"/>
    </i>
    <i r="1">
      <x v="10"/>
    </i>
    <i r="1">
      <x v="6"/>
    </i>
    <i r="1">
      <x v="1"/>
    </i>
    <i r="1">
      <x v="17"/>
    </i>
    <i r="1">
      <x v="11"/>
    </i>
    <i r="1">
      <x v="2"/>
    </i>
    <i r="1">
      <x v="33"/>
    </i>
    <i r="1">
      <x v="45"/>
    </i>
    <i r="1">
      <x v="40"/>
    </i>
    <i r="1">
      <x v="37"/>
    </i>
    <i r="1">
      <x v="36"/>
    </i>
    <i r="1">
      <x v="41"/>
    </i>
    <i r="1">
      <x v="12"/>
    </i>
    <i r="1">
      <x v="34"/>
    </i>
    <i r="1">
      <x v="44"/>
    </i>
    <i r="1">
      <x v="3"/>
    </i>
    <i r="1">
      <x v="8"/>
    </i>
    <i r="1">
      <x v="48"/>
    </i>
    <i r="1">
      <x v="5"/>
    </i>
    <i r="1">
      <x v="39"/>
    </i>
    <i t="default">
      <x v="1"/>
    </i>
    <i>
      <x v="3"/>
      <x v="30"/>
    </i>
    <i r="1">
      <x v="32"/>
    </i>
    <i r="1">
      <x v="29"/>
    </i>
    <i r="1">
      <x v="4"/>
    </i>
    <i r="1">
      <x v="31"/>
    </i>
    <i r="1">
      <x v="20"/>
    </i>
    <i t="default">
      <x v="3"/>
    </i>
    <i t="grand">
      <x/>
    </i>
  </rowItems>
  <colFields count="1">
    <field x="1"/>
  </colFields>
  <colItems count="17">
    <i>
      <x v="9"/>
    </i>
    <i>
      <x v="13"/>
    </i>
    <i>
      <x v="5"/>
    </i>
    <i>
      <x v="10"/>
    </i>
    <i>
      <x v="2"/>
    </i>
    <i>
      <x v="1"/>
    </i>
    <i>
      <x v="8"/>
    </i>
    <i>
      <x v="11"/>
    </i>
    <i>
      <x v="14"/>
    </i>
    <i>
      <x v="12"/>
    </i>
    <i>
      <x v="3"/>
    </i>
    <i>
      <x v="15"/>
    </i>
    <i>
      <x/>
    </i>
    <i>
      <x v="18"/>
    </i>
    <i>
      <x v="4"/>
    </i>
    <i>
      <x v="7"/>
    </i>
    <i t="grand">
      <x/>
    </i>
  </colItems>
  <dataFields count="1">
    <dataField name="Count of Ttype" fld="1" subtotal="count" baseField="0" baseItem="0"/>
  </dataFields>
  <formats count="1">
    <format dxfId="26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dataOnRows="1" applyNumberFormats="0" applyBorderFormats="0" applyFontFormats="0" applyPatternFormats="0" applyAlignmentFormats="0" applyWidthHeightFormats="1" dataCaption="Data" updatedVersion="7" minRefreshableVersion="3" asteriskTotals="1" showMultipleLabel="0" showMemberPropertyTips="0" itemPrintTitles="1" createdVersion="7" indent="0" compact="0" compactData="0" gridDropZones="1">
  <location ref="A3:E54" firstHeaderRow="1" firstDataRow="2" firstDataCol="1"/>
  <pivotFields count="2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name="Engines" axis="axisCol" compact="0" outline="0" subtotalTop="0" showAll="0" includeNewItemsInFilter="1">
      <items count="6">
        <item x="4"/>
        <item x="0"/>
        <item x="3"/>
        <item x="2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31">
        <item x="23"/>
        <item x="5"/>
        <item x="18"/>
        <item x="10"/>
        <item x="22"/>
        <item x="15"/>
        <item x="20"/>
        <item x="13"/>
        <item x="11"/>
        <item x="2"/>
        <item m="1" x="27"/>
        <item x="0"/>
        <item x="14"/>
        <item x="7"/>
        <item x="9"/>
        <item x="6"/>
        <item x="12"/>
        <item x="4"/>
        <item x="19"/>
        <item x="8"/>
        <item x="17"/>
        <item x="16"/>
        <item x="21"/>
        <item h="1" x="1"/>
        <item x="3"/>
        <item x="24"/>
        <item m="1" x="29"/>
        <item x="25"/>
        <item m="1" x="28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dataField="1" compact="0" outline="0" subtotalTop="0" showAll="0" includeNewItemsInFilter="1" sortType="descending" rankBy="0">
      <items count="88">
        <item m="1" x="63"/>
        <item m="1" x="54"/>
        <item m="1" x="56"/>
        <item m="1" x="74"/>
        <item m="1" x="84"/>
        <item m="1" x="72"/>
        <item m="1" x="68"/>
        <item m="1" x="83"/>
        <item m="1" x="79"/>
        <item m="1" x="70"/>
        <item m="1" x="80"/>
        <item m="1" x="69"/>
        <item m="1" x="81"/>
        <item m="1" x="53"/>
        <item m="1" x="64"/>
        <item x="30"/>
        <item x="31"/>
        <item x="11"/>
        <item x="48"/>
        <item x="4"/>
        <item x="0"/>
        <item x="17"/>
        <item x="2"/>
        <item x="16"/>
        <item x="46"/>
        <item m="1" x="58"/>
        <item m="1" x="66"/>
        <item m="1" x="78"/>
        <item m="1" x="82"/>
        <item x="21"/>
        <item x="18"/>
        <item m="1" x="51"/>
        <item x="42"/>
        <item x="14"/>
        <item m="1" x="59"/>
        <item m="1" x="52"/>
        <item x="49"/>
        <item x="45"/>
        <item x="29"/>
        <item m="1" x="62"/>
        <item m="1" x="65"/>
        <item m="1" x="50"/>
        <item m="1" x="55"/>
        <item m="1" x="75"/>
        <item m="1" x="67"/>
        <item m="1" x="77"/>
        <item m="1" x="60"/>
        <item m="1" x="61"/>
        <item m="1" x="57"/>
        <item m="1" x="71"/>
        <item m="1" x="85"/>
        <item m="1" x="86"/>
        <item m="1" x="73"/>
        <item m="1" x="76"/>
        <item h="1" x="1"/>
        <item x="26"/>
        <item x="9"/>
        <item x="3"/>
        <item x="5"/>
        <item x="6"/>
        <item x="7"/>
        <item x="8"/>
        <item x="10"/>
        <item x="12"/>
        <item x="13"/>
        <item x="15"/>
        <item x="19"/>
        <item x="20"/>
        <item x="22"/>
        <item x="23"/>
        <item x="24"/>
        <item x="25"/>
        <item x="27"/>
        <item x="28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0" outline="0" subtotalTop="0" showAll="0" includeNewItemsInFilter="1"/>
    <pivotField compact="0" outline="0" subtotalTop="0" showAll="0" includeNewItemsInFilter="1"/>
  </pivotFields>
  <rowFields count="1">
    <field x="9"/>
  </rowFields>
  <rowItems count="50">
    <i>
      <x v="20"/>
    </i>
    <i>
      <x v="16"/>
    </i>
    <i>
      <x v="19"/>
    </i>
    <i>
      <x v="22"/>
    </i>
    <i>
      <x v="74"/>
    </i>
    <i>
      <x v="56"/>
    </i>
    <i>
      <x v="65"/>
    </i>
    <i>
      <x v="38"/>
    </i>
    <i>
      <x v="33"/>
    </i>
    <i>
      <x v="15"/>
    </i>
    <i>
      <x v="23"/>
    </i>
    <i>
      <x v="60"/>
    </i>
    <i>
      <x v="75"/>
    </i>
    <i>
      <x v="21"/>
    </i>
    <i>
      <x v="18"/>
    </i>
    <i>
      <x v="58"/>
    </i>
    <i>
      <x v="17"/>
    </i>
    <i>
      <x v="55"/>
    </i>
    <i>
      <x v="57"/>
    </i>
    <i>
      <x v="72"/>
    </i>
    <i>
      <x v="63"/>
    </i>
    <i>
      <x v="76"/>
    </i>
    <i>
      <x v="64"/>
    </i>
    <i>
      <x v="71"/>
    </i>
    <i>
      <x v="59"/>
    </i>
    <i>
      <x v="73"/>
    </i>
    <i>
      <x v="66"/>
    </i>
    <i>
      <x v="30"/>
    </i>
    <i>
      <x v="69"/>
    </i>
    <i>
      <x v="70"/>
    </i>
    <i>
      <x v="62"/>
    </i>
    <i>
      <x v="84"/>
    </i>
    <i>
      <x v="80"/>
    </i>
    <i>
      <x v="78"/>
    </i>
    <i>
      <x v="29"/>
    </i>
    <i>
      <x v="82"/>
    </i>
    <i>
      <x v="36"/>
    </i>
    <i>
      <x v="86"/>
    </i>
    <i>
      <x v="37"/>
    </i>
    <i>
      <x v="79"/>
    </i>
    <i>
      <x v="24"/>
    </i>
    <i>
      <x v="81"/>
    </i>
    <i>
      <x v="32"/>
    </i>
    <i>
      <x v="83"/>
    </i>
    <i>
      <x v="67"/>
    </i>
    <i>
      <x v="85"/>
    </i>
    <i>
      <x v="68"/>
    </i>
    <i>
      <x v="61"/>
    </i>
    <i>
      <x v="77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dataFields count="1">
    <dataField name="Count of To" fld="9" subtotal="count" baseField="0" baseItem="0"/>
  </dataFields>
  <formats count="25">
    <format dxfId="25">
      <pivotArea dataOnly="0" labelOnly="1" outline="0" fieldPosition="0">
        <references count="1">
          <reference field="6" count="1">
            <x v="17"/>
          </reference>
        </references>
      </pivotArea>
    </format>
    <format dxfId="24">
      <pivotArea dataOnly="0" labelOnly="1" outline="0" fieldPosition="0">
        <references count="1">
          <reference field="6" count="1">
            <x v="12"/>
          </reference>
        </references>
      </pivotArea>
    </format>
    <format dxfId="23">
      <pivotArea dataOnly="0" labelOnly="1" outline="0" fieldPosition="0">
        <references count="1">
          <reference field="6" count="1">
            <x v="18"/>
          </reference>
        </references>
      </pivotArea>
    </format>
    <format dxfId="22">
      <pivotArea dataOnly="0" labelOnly="1" outline="0" fieldPosition="0">
        <references count="1">
          <reference field="6" count="1">
            <x v="11"/>
          </reference>
        </references>
      </pivotArea>
    </format>
    <format dxfId="21">
      <pivotArea dataOnly="0" labelOnly="1" outline="0" fieldPosition="0">
        <references count="1">
          <reference field="6" count="1">
            <x v="2"/>
          </reference>
        </references>
      </pivotArea>
    </format>
    <format dxfId="20">
      <pivotArea dataOnly="0" labelOnly="1" outline="0" fieldPosition="0">
        <references count="1">
          <reference field="6" count="1">
            <x v="13"/>
          </reference>
        </references>
      </pivotArea>
    </format>
    <format dxfId="19">
      <pivotArea dataOnly="0" labelOnly="1" outline="0" fieldPosition="0">
        <references count="1">
          <reference field="6" count="1">
            <x v="19"/>
          </reference>
        </references>
      </pivotArea>
    </format>
    <format dxfId="18">
      <pivotArea dataOnly="0" labelOnly="1" outline="0" fieldPosition="0">
        <references count="1">
          <reference field="6" count="1">
            <x v="3"/>
          </reference>
        </references>
      </pivotArea>
    </format>
    <format dxfId="17">
      <pivotArea dataOnly="0" labelOnly="1" outline="0" fieldPosition="0">
        <references count="1">
          <reference field="6" count="1">
            <x v="6"/>
          </reference>
        </references>
      </pivotArea>
    </format>
    <format dxfId="16">
      <pivotArea dataOnly="0" labelOnly="1" outline="0" fieldPosition="0">
        <references count="1">
          <reference field="6" count="1">
            <x v="16"/>
          </reference>
        </references>
      </pivotArea>
    </format>
    <format dxfId="15">
      <pivotArea dataOnly="0" labelOnly="1" outline="0" fieldPosition="0">
        <references count="1">
          <reference field="6" count="1">
            <x v="1"/>
          </reference>
        </references>
      </pivotArea>
    </format>
    <format dxfId="14">
      <pivotArea dataOnly="0" labelOnly="1" outline="0" fieldPosition="0">
        <references count="1">
          <reference field="6" count="1">
            <x v="5"/>
          </reference>
        </references>
      </pivotArea>
    </format>
    <format dxfId="13">
      <pivotArea dataOnly="0" labelOnly="1" outline="0" fieldPosition="0">
        <references count="1">
          <reference field="6" count="1">
            <x v="15"/>
          </reference>
        </references>
      </pivotArea>
    </format>
    <format dxfId="12">
      <pivotArea dataOnly="0" labelOnly="1" outline="0" fieldPosition="0">
        <references count="1">
          <reference field="6" count="1">
            <x v="7"/>
          </reference>
        </references>
      </pivotArea>
    </format>
    <format dxfId="11">
      <pivotArea dataOnly="0" labelOnly="1" outline="0" fieldPosition="0">
        <references count="1">
          <reference field="6" count="1">
            <x v="4"/>
          </reference>
        </references>
      </pivotArea>
    </format>
    <format dxfId="10">
      <pivotArea dataOnly="0" labelOnly="1" outline="0" fieldPosition="0">
        <references count="1">
          <reference field="6" count="1">
            <x v="21"/>
          </reference>
        </references>
      </pivotArea>
    </format>
    <format dxfId="9">
      <pivotArea dataOnly="0" labelOnly="1" outline="0" fieldPosition="0">
        <references count="1">
          <reference field="6" count="1">
            <x v="20"/>
          </reference>
        </references>
      </pivotArea>
    </format>
    <format dxfId="8">
      <pivotArea dataOnly="0" labelOnly="1" outline="0" fieldPosition="0">
        <references count="1">
          <reference field="6" count="1">
            <x v="9"/>
          </reference>
        </references>
      </pivotArea>
    </format>
    <format dxfId="7">
      <pivotArea dataOnly="0" labelOnly="1" outline="0" fieldPosition="0">
        <references count="1">
          <reference field="6" count="1">
            <x v="22"/>
          </reference>
        </references>
      </pivotArea>
    </format>
    <format dxfId="6">
      <pivotArea dataOnly="0" labelOnly="1" outline="0" fieldPosition="0">
        <references count="1">
          <reference field="6" count="1">
            <x v="8"/>
          </reference>
        </references>
      </pivotArea>
    </format>
    <format dxfId="5">
      <pivotArea dataOnly="0" labelOnly="1" outline="0" fieldPosition="0">
        <references count="1">
          <reference field="6" count="1">
            <x v="14"/>
          </reference>
        </references>
      </pivotArea>
    </format>
    <format dxfId="4">
      <pivotArea dataOnly="0" labelOnly="1" outline="0" fieldPosition="0">
        <references count="1">
          <reference field="6" count="1">
            <x v="0"/>
          </reference>
        </references>
      </pivotArea>
    </format>
    <format dxfId="3">
      <pivotArea dataOnly="0" labelOnly="1" outline="0" fieldPosition="0">
        <references count="1">
          <reference field="6" count="1">
            <x v="10"/>
          </reference>
        </references>
      </pivotArea>
    </format>
    <format dxfId="2">
      <pivotArea dataOnly="0" labelOnly="1" grandCol="1" outline="0" fieldPosition="0"/>
    </format>
    <format dxfId="1">
      <pivotArea dataOnly="0" labelOnly="1" outline="0" fieldPosition="0">
        <references count="1">
          <reference field="6" count="1">
            <x v="2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5"/>
  <sheetViews>
    <sheetView tabSelected="1" workbookViewId="0">
      <pane xSplit="4" ySplit="5" topLeftCell="E564" activePane="bottomRight" state="frozen"/>
      <selection pane="topRight" activeCell="E1" sqref="E1"/>
      <selection pane="bottomLeft" activeCell="A5" sqref="A5"/>
      <selection pane="bottomRight" activeCell="G589" sqref="G589"/>
    </sheetView>
  </sheetViews>
  <sheetFormatPr baseColWidth="10" defaultColWidth="8.83203125" defaultRowHeight="13" outlineLevelRow="1" x14ac:dyDescent="0.15"/>
  <cols>
    <col min="1" max="1" width="10.33203125" style="3" customWidth="1"/>
    <col min="2" max="2" width="8.6640625" style="3" hidden="1" customWidth="1"/>
    <col min="3" max="4" width="2.5" hidden="1" customWidth="1"/>
    <col min="5" max="5" width="10.6640625" customWidth="1"/>
    <col min="7" max="7" width="10.1640625" bestFit="1" customWidth="1"/>
    <col min="8" max="8" width="9.5" style="2" bestFit="1" customWidth="1"/>
    <col min="9" max="9" width="12.5" customWidth="1"/>
    <col min="10" max="10" width="14.33203125" customWidth="1"/>
    <col min="11" max="11" width="8.5" style="4" customWidth="1"/>
    <col min="12" max="12" width="6.5" style="4" bestFit="1" customWidth="1"/>
    <col min="13" max="13" width="10.33203125" style="11" bestFit="1" customWidth="1"/>
    <col min="14" max="14" width="9.33203125" style="11" customWidth="1"/>
    <col min="15" max="15" width="10.33203125" style="2" bestFit="1" customWidth="1"/>
    <col min="16" max="16" width="9.33203125" style="2" customWidth="1"/>
    <col min="17" max="17" width="10.33203125" style="2" bestFit="1" customWidth="1"/>
    <col min="18" max="18" width="9.33203125" style="2" customWidth="1"/>
    <col min="19" max="19" width="10.33203125" style="2" bestFit="1" customWidth="1"/>
    <col min="20" max="20" width="9.33203125" style="2" hidden="1" customWidth="1"/>
    <col min="21" max="21" width="10.33203125" style="27" bestFit="1" customWidth="1"/>
    <col min="22" max="22" width="9.33203125" style="2" customWidth="1"/>
    <col min="23" max="23" width="9.6640625" style="2" customWidth="1"/>
    <col min="24" max="24" width="9.6640625" style="2" hidden="1" customWidth="1"/>
    <col min="25" max="25" width="42" customWidth="1"/>
  </cols>
  <sheetData>
    <row r="1" spans="1:25" x14ac:dyDescent="0.15">
      <c r="A1" t="s">
        <v>684</v>
      </c>
      <c r="E1" s="18">
        <f>SUM(M1:T1)</f>
        <v>26.656944444444445</v>
      </c>
      <c r="F1" s="19" t="s">
        <v>686</v>
      </c>
      <c r="G1">
        <f>COUNT(A6:A65536)</f>
        <v>592</v>
      </c>
      <c r="J1" t="s">
        <v>372</v>
      </c>
      <c r="K1" s="18">
        <f>SUM(M1:T1)</f>
        <v>26.656944444444445</v>
      </c>
      <c r="M1" s="13">
        <f t="shared" ref="M1:W1" si="0">SUM(M6:M65536)</f>
        <v>11.323611111111111</v>
      </c>
      <c r="N1" s="13">
        <f t="shared" si="0"/>
        <v>7.1097222222222234</v>
      </c>
      <c r="O1" s="13">
        <f t="shared" si="0"/>
        <v>4.8708333333333345</v>
      </c>
      <c r="P1" s="13">
        <f t="shared" si="0"/>
        <v>2.8541666666666661</v>
      </c>
      <c r="Q1" s="13">
        <f t="shared" si="0"/>
        <v>0.22708333333333347</v>
      </c>
      <c r="R1" s="13">
        <f t="shared" si="0"/>
        <v>0.13541666666666674</v>
      </c>
      <c r="S1" s="13">
        <f t="shared" si="0"/>
        <v>0.1361111111111111</v>
      </c>
      <c r="T1" s="13">
        <f t="shared" si="0"/>
        <v>0</v>
      </c>
      <c r="U1" s="27">
        <f t="shared" si="0"/>
        <v>107.00000000000004</v>
      </c>
      <c r="V1" s="13">
        <f t="shared" si="0"/>
        <v>1.9861111111111105</v>
      </c>
      <c r="W1" s="2">
        <f t="shared" si="0"/>
        <v>19.799999999999997</v>
      </c>
    </row>
    <row r="2" spans="1:25" x14ac:dyDescent="0.15">
      <c r="A2" t="s">
        <v>685</v>
      </c>
      <c r="E2" s="18">
        <f>W1/24</f>
        <v>0.82499999999999984</v>
      </c>
      <c r="J2" t="s">
        <v>373</v>
      </c>
      <c r="K2" s="19"/>
      <c r="M2" s="20">
        <f t="shared" ref="M2:W2" si="1">COUNTIF(M6:M65536, "&gt;0")</f>
        <v>258</v>
      </c>
      <c r="N2" s="20">
        <f t="shared" si="1"/>
        <v>170</v>
      </c>
      <c r="O2" s="20">
        <f t="shared" si="1"/>
        <v>94</v>
      </c>
      <c r="P2" s="20">
        <f t="shared" si="1"/>
        <v>47</v>
      </c>
      <c r="Q2" s="20">
        <f t="shared" si="1"/>
        <v>5</v>
      </c>
      <c r="R2" s="20">
        <f t="shared" si="1"/>
        <v>3</v>
      </c>
      <c r="S2" s="20">
        <f t="shared" si="1"/>
        <v>6</v>
      </c>
      <c r="T2" s="20">
        <f t="shared" si="1"/>
        <v>0</v>
      </c>
      <c r="U2" s="27">
        <f t="shared" si="1"/>
        <v>106</v>
      </c>
      <c r="V2" s="20">
        <f t="shared" si="1"/>
        <v>58</v>
      </c>
      <c r="W2" s="20">
        <f t="shared" si="1"/>
        <v>14</v>
      </c>
    </row>
    <row r="3" spans="1:25" x14ac:dyDescent="0.15">
      <c r="A3"/>
      <c r="E3" s="18"/>
      <c r="M3" s="20"/>
      <c r="N3" s="20"/>
      <c r="O3" s="20"/>
      <c r="P3" s="20"/>
      <c r="Q3" s="20"/>
      <c r="R3" s="20"/>
      <c r="S3" s="20"/>
      <c r="T3" s="20"/>
      <c r="V3" s="20"/>
      <c r="W3" s="20"/>
    </row>
    <row r="4" spans="1:25" x14ac:dyDescent="0.15">
      <c r="A4" t="s">
        <v>197</v>
      </c>
      <c r="E4" s="18">
        <f>E2+E1</f>
        <v>27.481944444444444</v>
      </c>
      <c r="M4" s="57" t="s">
        <v>246</v>
      </c>
      <c r="N4" s="57"/>
      <c r="O4" s="57" t="s">
        <v>247</v>
      </c>
      <c r="P4" s="57"/>
      <c r="Q4" s="57" t="s">
        <v>246</v>
      </c>
      <c r="R4" s="57"/>
      <c r="S4" s="57" t="s">
        <v>247</v>
      </c>
      <c r="T4" s="57"/>
    </row>
    <row r="5" spans="1:25" ht="27" customHeight="1" thickBot="1" x14ac:dyDescent="0.2">
      <c r="A5" s="5" t="s">
        <v>414</v>
      </c>
      <c r="B5" s="5" t="s">
        <v>681</v>
      </c>
      <c r="C5" s="6" t="s">
        <v>682</v>
      </c>
      <c r="D5" s="6" t="s">
        <v>683</v>
      </c>
      <c r="E5" s="6" t="s">
        <v>405</v>
      </c>
      <c r="F5" s="6" t="s">
        <v>404</v>
      </c>
      <c r="G5" s="6" t="s">
        <v>415</v>
      </c>
      <c r="H5" s="8" t="s">
        <v>393</v>
      </c>
      <c r="I5" s="6" t="s">
        <v>394</v>
      </c>
      <c r="J5" s="6" t="s">
        <v>395</v>
      </c>
      <c r="K5" s="7" t="s">
        <v>251</v>
      </c>
      <c r="L5" s="7" t="s">
        <v>103</v>
      </c>
      <c r="M5" s="12" t="s">
        <v>104</v>
      </c>
      <c r="N5" s="10" t="s">
        <v>105</v>
      </c>
      <c r="O5" s="8" t="s">
        <v>104</v>
      </c>
      <c r="P5" s="9" t="s">
        <v>105</v>
      </c>
      <c r="Q5" s="8" t="s">
        <v>104</v>
      </c>
      <c r="R5" s="9" t="s">
        <v>105</v>
      </c>
      <c r="S5" s="8" t="s">
        <v>104</v>
      </c>
      <c r="T5" s="9" t="s">
        <v>105</v>
      </c>
      <c r="U5" s="28" t="s">
        <v>106</v>
      </c>
      <c r="V5" s="9" t="s">
        <v>107</v>
      </c>
      <c r="W5" s="8" t="s">
        <v>245</v>
      </c>
      <c r="X5" s="8" t="s">
        <v>687</v>
      </c>
      <c r="Y5" s="6" t="s">
        <v>248</v>
      </c>
    </row>
    <row r="6" spans="1:25" outlineLevel="1" x14ac:dyDescent="0.15">
      <c r="A6" s="3">
        <v>35655</v>
      </c>
      <c r="B6" s="3" t="str">
        <f>VLOOKUP(F6, Aircraft!A$2:C$99, 2, FALSE)</f>
        <v>C152</v>
      </c>
      <c r="C6" t="str">
        <f>VLOOKUP(F6, Aircraft!A$2:C$99, 3, FALSE)</f>
        <v>S</v>
      </c>
      <c r="D6" t="str">
        <f>IF(ISNA(C6), "", C6)</f>
        <v>S</v>
      </c>
      <c r="E6" t="str">
        <f>IF(ISNA(B6), "", B6)</f>
        <v>C152</v>
      </c>
      <c r="F6" t="s">
        <v>406</v>
      </c>
      <c r="G6" t="s">
        <v>249</v>
      </c>
      <c r="H6" s="2" t="str">
        <f>IF(UPPER(G6)&lt;&gt;"SELF","PUT","P1")</f>
        <v>PUT</v>
      </c>
      <c r="I6" t="s">
        <v>250</v>
      </c>
      <c r="J6" t="s">
        <v>250</v>
      </c>
      <c r="K6" s="4">
        <v>0.79166666666666663</v>
      </c>
      <c r="L6" s="4">
        <v>0.82291666666666663</v>
      </c>
      <c r="M6" s="11">
        <f>IF(AND(H6="P1", C6="S"), L6-K6, 0)</f>
        <v>0</v>
      </c>
      <c r="N6" s="11">
        <f>IF(AND(H6="PUT", C6="S"), L6-K6, 0)</f>
        <v>3.125E-2</v>
      </c>
      <c r="O6" s="11"/>
      <c r="P6" s="11"/>
      <c r="Q6" s="11"/>
      <c r="R6" s="11"/>
      <c r="S6" s="11"/>
      <c r="T6" s="11"/>
      <c r="X6" s="11">
        <f>SUM(M6:S6)</f>
        <v>3.125E-2</v>
      </c>
      <c r="Y6" t="s">
        <v>252</v>
      </c>
    </row>
    <row r="7" spans="1:25" outlineLevel="1" x14ac:dyDescent="0.15">
      <c r="A7" s="3">
        <v>35680</v>
      </c>
      <c r="B7" s="3" t="str">
        <f>VLOOKUP(F7, Aircraft!A$2:C$99, 2, FALSE)</f>
        <v>C152</v>
      </c>
      <c r="C7" t="str">
        <f>VLOOKUP(F7, Aircraft!A$2:C$99, 3, FALSE)</f>
        <v>S</v>
      </c>
      <c r="D7" t="str">
        <f>IF(ISNA(C7), "", C7)</f>
        <v>S</v>
      </c>
      <c r="E7" t="str">
        <f>IF(ISNA(B7), "", B7)</f>
        <v>C152</v>
      </c>
      <c r="F7" t="s">
        <v>409</v>
      </c>
      <c r="G7" t="s">
        <v>249</v>
      </c>
      <c r="H7" s="2" t="str">
        <f>IF(UPPER(G7)&lt;&gt;"SELF","PUT","P1")</f>
        <v>PUT</v>
      </c>
      <c r="I7" t="s">
        <v>250</v>
      </c>
      <c r="J7" t="s">
        <v>250</v>
      </c>
      <c r="K7" s="4">
        <v>0.47916666666666669</v>
      </c>
      <c r="L7" s="4">
        <v>0.53472222222222221</v>
      </c>
      <c r="M7" s="11">
        <f>IF(AND(H7="P1", C7="S"), L7-K7, 0)</f>
        <v>0</v>
      </c>
      <c r="N7" s="11">
        <f>IF(AND(H7="PUT", C7="S"), L7-K7, 0)</f>
        <v>5.5555555555555525E-2</v>
      </c>
      <c r="O7" s="11"/>
      <c r="P7" s="11"/>
      <c r="Q7" s="11"/>
      <c r="R7" s="11"/>
      <c r="S7" s="11"/>
      <c r="T7" s="11"/>
      <c r="V7" s="11"/>
      <c r="X7" s="11">
        <f t="shared" ref="X7:X73" si="2">SUM(M7:S7)</f>
        <v>5.5555555555555525E-2</v>
      </c>
      <c r="Y7" t="s">
        <v>253</v>
      </c>
    </row>
    <row r="8" spans="1:25" outlineLevel="1" x14ac:dyDescent="0.15">
      <c r="A8" s="3">
        <v>35680</v>
      </c>
      <c r="B8" s="3" t="str">
        <f>VLOOKUP(F8, Aircraft!A$2:C$99, 2, FALSE)</f>
        <v>C152</v>
      </c>
      <c r="C8" t="str">
        <f>VLOOKUP(F8, Aircraft!A$2:C$99, 3, FALSE)</f>
        <v>S</v>
      </c>
      <c r="D8" t="str">
        <f>IF(ISNA(C8), "", C8)</f>
        <v>S</v>
      </c>
      <c r="E8" t="str">
        <f>IF(ISNA(B8), "", B8)</f>
        <v>C152</v>
      </c>
      <c r="F8" t="s">
        <v>410</v>
      </c>
      <c r="G8" t="s">
        <v>249</v>
      </c>
      <c r="H8" s="2" t="str">
        <f>IF(UPPER(G8)&lt;&gt;"SELF","PUT","P1")</f>
        <v>PUT</v>
      </c>
      <c r="I8" t="s">
        <v>250</v>
      </c>
      <c r="J8" t="s">
        <v>250</v>
      </c>
      <c r="K8" s="4">
        <v>0.75694444444444453</v>
      </c>
      <c r="L8" s="4">
        <v>0.80902777777777779</v>
      </c>
      <c r="M8" s="11">
        <f>IF(AND(H8="P1", C8="S"), L8-K8, 0)</f>
        <v>0</v>
      </c>
      <c r="N8" s="11">
        <f>IF(AND(H8="PUT", C8="S"), L8-K8, 0)</f>
        <v>5.2083333333333259E-2</v>
      </c>
      <c r="O8" s="11"/>
      <c r="P8" s="11"/>
      <c r="Q8" s="11"/>
      <c r="R8" s="11"/>
      <c r="S8" s="11"/>
      <c r="T8" s="11"/>
      <c r="V8" s="11"/>
      <c r="X8" s="11">
        <f t="shared" si="2"/>
        <v>5.2083333333333259E-2</v>
      </c>
      <c r="Y8" t="s">
        <v>254</v>
      </c>
    </row>
    <row r="9" spans="1:25" outlineLevel="1" x14ac:dyDescent="0.15">
      <c r="A9" s="3">
        <v>35687</v>
      </c>
      <c r="B9" s="3" t="str">
        <f>VLOOKUP(F9, Aircraft!A$2:C$99, 2, FALSE)</f>
        <v>C152</v>
      </c>
      <c r="C9" t="str">
        <f>VLOOKUP(F9, Aircraft!A$2:C$99, 3, FALSE)</f>
        <v>S</v>
      </c>
      <c r="D9" t="str">
        <f>IF(ISNA(C9), "", C9)</f>
        <v>S</v>
      </c>
      <c r="E9" t="str">
        <f>IF(ISNA(B9), "", B9)</f>
        <v>C152</v>
      </c>
      <c r="F9" t="s">
        <v>406</v>
      </c>
      <c r="G9" t="s">
        <v>249</v>
      </c>
      <c r="H9" s="2" t="str">
        <f>IF(UPPER(G9)&lt;&gt;"SELF",IF(G9&lt;&gt;"", "PUT", ""),"P1")</f>
        <v>PUT</v>
      </c>
      <c r="I9" t="s">
        <v>250</v>
      </c>
      <c r="J9" t="s">
        <v>250</v>
      </c>
      <c r="K9" s="4">
        <v>0.75694444444444453</v>
      </c>
      <c r="L9" s="4">
        <v>0.80555555555555547</v>
      </c>
      <c r="M9" s="11">
        <f t="shared" ref="M9:M42" si="3">IF(AND(H9="P1", D9="S"), L9-K9, 0)</f>
        <v>0</v>
      </c>
      <c r="N9" s="11">
        <f t="shared" ref="N9:N42" si="4">IF(AND(H9="PUT", D9="S"), L9-K9, 0)</f>
        <v>4.8611111111110938E-2</v>
      </c>
      <c r="O9" s="11"/>
      <c r="P9" s="11"/>
      <c r="Q9" s="11"/>
      <c r="R9" s="11"/>
      <c r="S9" s="11"/>
      <c r="T9" s="11"/>
      <c r="V9" s="11"/>
      <c r="X9" s="11">
        <f t="shared" si="2"/>
        <v>4.8611111111110938E-2</v>
      </c>
      <c r="Y9" t="s">
        <v>255</v>
      </c>
    </row>
    <row r="10" spans="1:25" outlineLevel="1" x14ac:dyDescent="0.15">
      <c r="A10" s="3">
        <v>35701</v>
      </c>
      <c r="B10" s="3" t="str">
        <f>VLOOKUP(F10, Aircraft!A$2:C$99, 2, FALSE)</f>
        <v>C152</v>
      </c>
      <c r="C10" t="str">
        <f>VLOOKUP(F10, Aircraft!A$2:C$99, 3, FALSE)</f>
        <v>S</v>
      </c>
      <c r="D10" t="str">
        <f t="shared" ref="D10:D77" si="5">IF(ISNA(C10), "", C10)</f>
        <v>S</v>
      </c>
      <c r="E10" t="str">
        <f t="shared" ref="E10:E76" si="6">IF(ISNA(B10), "", B10)</f>
        <v>C152</v>
      </c>
      <c r="F10" t="s">
        <v>410</v>
      </c>
      <c r="G10" t="s">
        <v>249</v>
      </c>
      <c r="H10" s="2" t="str">
        <f t="shared" ref="H10:H77" si="7">IF(UPPER(G10)&lt;&gt;"SELF",IF(G10&lt;&gt;"", "PUT", ""),"P1")</f>
        <v>PUT</v>
      </c>
      <c r="I10" t="s">
        <v>250</v>
      </c>
      <c r="J10" t="s">
        <v>250</v>
      </c>
      <c r="K10" s="4">
        <v>0.59027777777777779</v>
      </c>
      <c r="L10" s="4">
        <v>0.63888888888888895</v>
      </c>
      <c r="M10" s="11">
        <f t="shared" si="3"/>
        <v>0</v>
      </c>
      <c r="N10" s="11">
        <f t="shared" si="4"/>
        <v>4.861111111111116E-2</v>
      </c>
      <c r="O10" s="11"/>
      <c r="P10" s="11"/>
      <c r="Q10" s="11"/>
      <c r="R10" s="11"/>
      <c r="S10" s="11"/>
      <c r="T10" s="11"/>
      <c r="V10" s="11"/>
      <c r="X10" s="11">
        <f t="shared" si="2"/>
        <v>4.861111111111116E-2</v>
      </c>
      <c r="Y10" t="s">
        <v>256</v>
      </c>
    </row>
    <row r="11" spans="1:25" outlineLevel="1" x14ac:dyDescent="0.15">
      <c r="A11" s="3">
        <v>35727</v>
      </c>
      <c r="B11" s="3" t="str">
        <f>VLOOKUP(F11, Aircraft!A$2:C$99, 2, FALSE)</f>
        <v>C152</v>
      </c>
      <c r="C11" t="str">
        <f>VLOOKUP(F11, Aircraft!A$2:C$99, 3, FALSE)</f>
        <v>S</v>
      </c>
      <c r="D11" t="str">
        <f t="shared" si="5"/>
        <v>S</v>
      </c>
      <c r="E11" t="str">
        <f t="shared" si="6"/>
        <v>C152</v>
      </c>
      <c r="F11" t="s">
        <v>406</v>
      </c>
      <c r="G11" t="s">
        <v>249</v>
      </c>
      <c r="H11" s="2" t="str">
        <f t="shared" si="7"/>
        <v>PUT</v>
      </c>
      <c r="I11" t="s">
        <v>250</v>
      </c>
      <c r="J11" t="s">
        <v>250</v>
      </c>
      <c r="K11" s="4">
        <v>0.60416666666666663</v>
      </c>
      <c r="L11" s="4">
        <v>0.64583333333333337</v>
      </c>
      <c r="M11" s="11">
        <f t="shared" si="3"/>
        <v>0</v>
      </c>
      <c r="N11" s="11">
        <f t="shared" si="4"/>
        <v>4.1666666666666741E-2</v>
      </c>
      <c r="O11" s="11"/>
      <c r="P11" s="11"/>
      <c r="Q11" s="11"/>
      <c r="R11" s="11"/>
      <c r="S11" s="11"/>
      <c r="T11" s="11"/>
      <c r="V11" s="11"/>
      <c r="X11" s="11">
        <f t="shared" si="2"/>
        <v>4.1666666666666741E-2</v>
      </c>
      <c r="Y11" t="s">
        <v>257</v>
      </c>
    </row>
    <row r="12" spans="1:25" outlineLevel="1" x14ac:dyDescent="0.15">
      <c r="A12" s="3">
        <v>35728</v>
      </c>
      <c r="B12" s="3" t="str">
        <f>VLOOKUP(F12, Aircraft!A$2:C$99, 2, FALSE)</f>
        <v>C152</v>
      </c>
      <c r="C12" t="str">
        <f>VLOOKUP(F12, Aircraft!A$2:C$99, 3, FALSE)</f>
        <v>S</v>
      </c>
      <c r="D12" t="str">
        <f t="shared" si="5"/>
        <v>S</v>
      </c>
      <c r="E12" t="str">
        <f t="shared" si="6"/>
        <v>C152</v>
      </c>
      <c r="F12" t="s">
        <v>410</v>
      </c>
      <c r="G12" t="s">
        <v>249</v>
      </c>
      <c r="H12" s="2" t="str">
        <f t="shared" si="7"/>
        <v>PUT</v>
      </c>
      <c r="I12" t="s">
        <v>250</v>
      </c>
      <c r="J12" t="s">
        <v>250</v>
      </c>
      <c r="K12" s="4">
        <v>0.44097222222222227</v>
      </c>
      <c r="L12" s="4">
        <v>0.4826388888888889</v>
      </c>
      <c r="M12" s="11">
        <f t="shared" si="3"/>
        <v>0</v>
      </c>
      <c r="N12" s="11">
        <f t="shared" si="4"/>
        <v>4.166666666666663E-2</v>
      </c>
      <c r="O12" s="11"/>
      <c r="P12" s="11"/>
      <c r="Q12" s="11"/>
      <c r="R12" s="11"/>
      <c r="S12" s="11"/>
      <c r="T12" s="11"/>
      <c r="V12" s="11"/>
      <c r="X12" s="11">
        <f t="shared" si="2"/>
        <v>4.166666666666663E-2</v>
      </c>
      <c r="Y12" t="s">
        <v>258</v>
      </c>
    </row>
    <row r="13" spans="1:25" outlineLevel="1" x14ac:dyDescent="0.15">
      <c r="A13" s="3">
        <v>35729</v>
      </c>
      <c r="B13" s="3" t="str">
        <f>VLOOKUP(F13, Aircraft!A$2:C$99, 2, FALSE)</f>
        <v>PA28</v>
      </c>
      <c r="C13" t="str">
        <f>VLOOKUP(F13, Aircraft!A$2:C$99, 3, FALSE)</f>
        <v>S</v>
      </c>
      <c r="D13" t="str">
        <f t="shared" si="5"/>
        <v>S</v>
      </c>
      <c r="E13" t="str">
        <f t="shared" si="6"/>
        <v>PA28</v>
      </c>
      <c r="F13" t="s">
        <v>411</v>
      </c>
      <c r="G13" t="s">
        <v>249</v>
      </c>
      <c r="H13" s="2" t="str">
        <f t="shared" si="7"/>
        <v>PUT</v>
      </c>
      <c r="I13" t="s">
        <v>250</v>
      </c>
      <c r="J13" t="s">
        <v>250</v>
      </c>
      <c r="K13" s="4">
        <v>0.46180555555555558</v>
      </c>
      <c r="L13" s="4">
        <v>0.50694444444444442</v>
      </c>
      <c r="M13" s="11">
        <f t="shared" si="3"/>
        <v>0</v>
      </c>
      <c r="N13" s="11">
        <f t="shared" si="4"/>
        <v>4.513888888888884E-2</v>
      </c>
      <c r="O13" s="11"/>
      <c r="P13" s="11"/>
      <c r="Q13" s="11"/>
      <c r="R13" s="11"/>
      <c r="S13" s="11"/>
      <c r="T13" s="11"/>
      <c r="V13" s="11"/>
      <c r="X13" s="11">
        <f t="shared" si="2"/>
        <v>4.513888888888884E-2</v>
      </c>
      <c r="Y13" t="s">
        <v>259</v>
      </c>
    </row>
    <row r="14" spans="1:25" x14ac:dyDescent="0.15">
      <c r="O14" s="11"/>
      <c r="P14" s="11"/>
      <c r="Q14" s="11"/>
      <c r="R14" s="11"/>
      <c r="S14" s="11"/>
      <c r="T14" s="11"/>
      <c r="V14" s="11"/>
      <c r="X14" s="11"/>
    </row>
    <row r="15" spans="1:25" outlineLevel="1" x14ac:dyDescent="0.15">
      <c r="A15" s="3">
        <v>35833</v>
      </c>
      <c r="B15" s="3" t="str">
        <f>VLOOKUP(F15, Aircraft!A$2:C$99, 2, FALSE)</f>
        <v>PA28</v>
      </c>
      <c r="C15" t="str">
        <f>VLOOKUP(F15, Aircraft!A$2:C$99, 3, FALSE)</f>
        <v>S</v>
      </c>
      <c r="D15" t="str">
        <f t="shared" si="5"/>
        <v>S</v>
      </c>
      <c r="E15" t="str">
        <f t="shared" si="6"/>
        <v>PA28</v>
      </c>
      <c r="F15" t="s">
        <v>413</v>
      </c>
      <c r="G15" t="s">
        <v>249</v>
      </c>
      <c r="H15" s="2" t="str">
        <f t="shared" si="7"/>
        <v>PUT</v>
      </c>
      <c r="I15" t="s">
        <v>250</v>
      </c>
      <c r="J15" t="s">
        <v>250</v>
      </c>
      <c r="K15" s="4">
        <v>0.41666666666666669</v>
      </c>
      <c r="L15" s="4">
        <v>0.45833333333333331</v>
      </c>
      <c r="M15" s="11">
        <f t="shared" si="3"/>
        <v>0</v>
      </c>
      <c r="N15" s="11">
        <f t="shared" si="4"/>
        <v>4.166666666666663E-2</v>
      </c>
      <c r="O15" s="11"/>
      <c r="P15" s="11"/>
      <c r="Q15" s="11"/>
      <c r="R15" s="11"/>
      <c r="S15" s="11"/>
      <c r="T15" s="11"/>
      <c r="V15" s="11"/>
      <c r="X15" s="11">
        <f t="shared" si="2"/>
        <v>4.166666666666663E-2</v>
      </c>
      <c r="Y15" t="s">
        <v>261</v>
      </c>
    </row>
    <row r="16" spans="1:25" outlineLevel="1" x14ac:dyDescent="0.15">
      <c r="A16" s="3">
        <v>35833</v>
      </c>
      <c r="B16" s="3" t="str">
        <f>VLOOKUP(F16, Aircraft!A$2:C$99, 2, FALSE)</f>
        <v>PA28</v>
      </c>
      <c r="C16" t="str">
        <f>VLOOKUP(F16, Aircraft!A$2:C$99, 3, FALSE)</f>
        <v>S</v>
      </c>
      <c r="D16" t="str">
        <f t="shared" si="5"/>
        <v>S</v>
      </c>
      <c r="E16" t="str">
        <f t="shared" si="6"/>
        <v>PA28</v>
      </c>
      <c r="F16" t="s">
        <v>413</v>
      </c>
      <c r="G16" t="s">
        <v>249</v>
      </c>
      <c r="H16" s="2" t="str">
        <f t="shared" si="7"/>
        <v>PUT</v>
      </c>
      <c r="I16" t="s">
        <v>250</v>
      </c>
      <c r="J16" t="s">
        <v>250</v>
      </c>
      <c r="K16" s="4">
        <v>0.66666666666666663</v>
      </c>
      <c r="L16" s="4">
        <v>0.70486111111111116</v>
      </c>
      <c r="M16" s="11">
        <f t="shared" si="3"/>
        <v>0</v>
      </c>
      <c r="N16" s="11">
        <f t="shared" si="4"/>
        <v>3.8194444444444531E-2</v>
      </c>
      <c r="O16" s="11"/>
      <c r="P16" s="11"/>
      <c r="Q16" s="11"/>
      <c r="R16" s="11"/>
      <c r="S16" s="11"/>
      <c r="T16" s="11"/>
      <c r="V16" s="11"/>
      <c r="X16" s="11">
        <f t="shared" si="2"/>
        <v>3.8194444444444531E-2</v>
      </c>
      <c r="Y16" t="s">
        <v>260</v>
      </c>
    </row>
    <row r="17" spans="1:25" outlineLevel="1" x14ac:dyDescent="0.15">
      <c r="A17" s="3">
        <v>35847</v>
      </c>
      <c r="B17" s="3" t="str">
        <f>VLOOKUP(F17, Aircraft!A$2:C$99, 2, FALSE)</f>
        <v>PA28</v>
      </c>
      <c r="C17" t="str">
        <f>VLOOKUP(F17, Aircraft!A$2:C$99, 3, FALSE)</f>
        <v>S</v>
      </c>
      <c r="D17" t="str">
        <f t="shared" si="5"/>
        <v>S</v>
      </c>
      <c r="E17" t="str">
        <f t="shared" si="6"/>
        <v>PA28</v>
      </c>
      <c r="F17" t="s">
        <v>411</v>
      </c>
      <c r="G17" t="s">
        <v>249</v>
      </c>
      <c r="H17" s="2" t="str">
        <f t="shared" si="7"/>
        <v>PUT</v>
      </c>
      <c r="I17" t="s">
        <v>250</v>
      </c>
      <c r="J17" t="s">
        <v>250</v>
      </c>
      <c r="K17" s="4">
        <v>0.64236111111111105</v>
      </c>
      <c r="L17" s="4">
        <v>0.65277777777777779</v>
      </c>
      <c r="M17" s="11">
        <f t="shared" si="3"/>
        <v>0</v>
      </c>
      <c r="N17" s="11">
        <f t="shared" si="4"/>
        <v>1.0416666666666741E-2</v>
      </c>
      <c r="O17" s="11"/>
      <c r="P17" s="11"/>
      <c r="Q17" s="11"/>
      <c r="R17" s="11"/>
      <c r="S17" s="11"/>
      <c r="T17" s="11"/>
      <c r="V17" s="11"/>
      <c r="X17" s="11">
        <f t="shared" si="2"/>
        <v>1.0416666666666741E-2</v>
      </c>
      <c r="Y17" t="s">
        <v>262</v>
      </c>
    </row>
    <row r="18" spans="1:25" outlineLevel="1" x14ac:dyDescent="0.15">
      <c r="A18" s="3">
        <v>35848</v>
      </c>
      <c r="B18" s="3" t="str">
        <f>VLOOKUP(F18, Aircraft!A$2:C$99, 2, FALSE)</f>
        <v>PA28</v>
      </c>
      <c r="C18" t="str">
        <f>VLOOKUP(F18, Aircraft!A$2:C$99, 3, FALSE)</f>
        <v>S</v>
      </c>
      <c r="D18" t="str">
        <f t="shared" si="5"/>
        <v>S</v>
      </c>
      <c r="E18" t="str">
        <f t="shared" si="6"/>
        <v>PA28</v>
      </c>
      <c r="F18" t="s">
        <v>411</v>
      </c>
      <c r="G18" t="s">
        <v>249</v>
      </c>
      <c r="H18" s="2" t="str">
        <f t="shared" si="7"/>
        <v>PUT</v>
      </c>
      <c r="I18" t="s">
        <v>250</v>
      </c>
      <c r="J18" t="s">
        <v>250</v>
      </c>
      <c r="K18" s="4">
        <v>0.59375</v>
      </c>
      <c r="L18" s="4">
        <v>0.63194444444444442</v>
      </c>
      <c r="M18" s="11">
        <f t="shared" si="3"/>
        <v>0</v>
      </c>
      <c r="N18" s="11">
        <f t="shared" si="4"/>
        <v>3.819444444444442E-2</v>
      </c>
      <c r="O18" s="11"/>
      <c r="P18" s="11"/>
      <c r="Q18" s="11"/>
      <c r="R18" s="11"/>
      <c r="S18" s="11"/>
      <c r="T18" s="11"/>
      <c r="U18" s="27">
        <v>0.6</v>
      </c>
      <c r="V18" s="11"/>
      <c r="X18" s="11">
        <f t="shared" si="2"/>
        <v>3.819444444444442E-2</v>
      </c>
      <c r="Y18" t="s">
        <v>263</v>
      </c>
    </row>
    <row r="19" spans="1:25" outlineLevel="1" x14ac:dyDescent="0.15">
      <c r="A19" s="3">
        <v>35876</v>
      </c>
      <c r="B19" s="3" t="str">
        <f>VLOOKUP(F19, Aircraft!A$2:C$99, 2, FALSE)</f>
        <v>PA28</v>
      </c>
      <c r="C19" t="str">
        <f>VLOOKUP(F19, Aircraft!A$2:C$99, 3, FALSE)</f>
        <v>S</v>
      </c>
      <c r="D19" t="str">
        <f t="shared" si="5"/>
        <v>S</v>
      </c>
      <c r="E19" t="str">
        <f t="shared" si="6"/>
        <v>PA28</v>
      </c>
      <c r="F19" t="s">
        <v>264</v>
      </c>
      <c r="G19" t="s">
        <v>249</v>
      </c>
      <c r="H19" s="2" t="str">
        <f t="shared" si="7"/>
        <v>PUT</v>
      </c>
      <c r="I19" t="s">
        <v>250</v>
      </c>
      <c r="J19" t="s">
        <v>250</v>
      </c>
      <c r="K19" s="4">
        <v>0.5</v>
      </c>
      <c r="L19" s="4">
        <v>0.54166666666666663</v>
      </c>
      <c r="M19" s="11">
        <f t="shared" si="3"/>
        <v>0</v>
      </c>
      <c r="N19" s="11">
        <f t="shared" si="4"/>
        <v>4.166666666666663E-2</v>
      </c>
      <c r="O19" s="11"/>
      <c r="P19" s="11"/>
      <c r="Q19" s="11"/>
      <c r="R19" s="11"/>
      <c r="S19" s="11"/>
      <c r="T19" s="11"/>
      <c r="V19" s="11"/>
      <c r="X19" s="11">
        <f t="shared" si="2"/>
        <v>4.166666666666663E-2</v>
      </c>
      <c r="Y19" t="s">
        <v>261</v>
      </c>
    </row>
    <row r="20" spans="1:25" outlineLevel="1" x14ac:dyDescent="0.15">
      <c r="A20" s="3">
        <v>35882</v>
      </c>
      <c r="B20" s="3" t="str">
        <f>VLOOKUP(F20, Aircraft!A$2:C$99, 2, FALSE)</f>
        <v>PA28</v>
      </c>
      <c r="C20" t="str">
        <f>VLOOKUP(F20, Aircraft!A$2:C$99, 3, FALSE)</f>
        <v>S</v>
      </c>
      <c r="D20" t="str">
        <f t="shared" si="5"/>
        <v>S</v>
      </c>
      <c r="E20" t="str">
        <f t="shared" si="6"/>
        <v>PA28</v>
      </c>
      <c r="F20" t="s">
        <v>265</v>
      </c>
      <c r="G20" t="s">
        <v>249</v>
      </c>
      <c r="H20" s="2" t="str">
        <f t="shared" si="7"/>
        <v>PUT</v>
      </c>
      <c r="I20" t="s">
        <v>250</v>
      </c>
      <c r="J20" t="s">
        <v>250</v>
      </c>
      <c r="K20" s="4">
        <v>0.50347222222222221</v>
      </c>
      <c r="L20" s="4">
        <v>0.54513888888888895</v>
      </c>
      <c r="M20" s="11">
        <f t="shared" si="3"/>
        <v>0</v>
      </c>
      <c r="N20" s="11">
        <f t="shared" si="4"/>
        <v>4.1666666666666741E-2</v>
      </c>
      <c r="O20" s="11"/>
      <c r="P20" s="11"/>
      <c r="Q20" s="11"/>
      <c r="R20" s="11"/>
      <c r="S20" s="11"/>
      <c r="T20" s="11"/>
      <c r="V20" s="11"/>
      <c r="X20" s="11">
        <f t="shared" si="2"/>
        <v>4.1666666666666741E-2</v>
      </c>
      <c r="Y20" t="s">
        <v>181</v>
      </c>
    </row>
    <row r="21" spans="1:25" outlineLevel="1" x14ac:dyDescent="0.15">
      <c r="A21" s="3">
        <v>35883</v>
      </c>
      <c r="B21" s="3" t="str">
        <f>VLOOKUP(F21, Aircraft!A$2:C$99, 2, FALSE)</f>
        <v>PA28</v>
      </c>
      <c r="C21" t="str">
        <f>VLOOKUP(F21, Aircraft!A$2:C$99, 3, FALSE)</f>
        <v>S</v>
      </c>
      <c r="D21" t="str">
        <f t="shared" si="5"/>
        <v>S</v>
      </c>
      <c r="E21" t="str">
        <f t="shared" si="6"/>
        <v>PA28</v>
      </c>
      <c r="F21" t="s">
        <v>411</v>
      </c>
      <c r="G21" t="s">
        <v>249</v>
      </c>
      <c r="H21" s="2" t="str">
        <f t="shared" si="7"/>
        <v>PUT</v>
      </c>
      <c r="I21" t="s">
        <v>250</v>
      </c>
      <c r="J21" t="s">
        <v>250</v>
      </c>
      <c r="K21" s="4">
        <v>0.73958333333333337</v>
      </c>
      <c r="L21" s="4">
        <v>0.77777777777777779</v>
      </c>
      <c r="M21" s="11">
        <f t="shared" si="3"/>
        <v>0</v>
      </c>
      <c r="N21" s="11">
        <f t="shared" si="4"/>
        <v>3.819444444444442E-2</v>
      </c>
      <c r="O21" s="11"/>
      <c r="P21" s="11"/>
      <c r="Q21" s="11"/>
      <c r="R21" s="11"/>
      <c r="S21" s="11"/>
      <c r="T21" s="11"/>
      <c r="U21" s="27">
        <v>0.7</v>
      </c>
      <c r="V21" s="11"/>
      <c r="X21" s="11">
        <f t="shared" si="2"/>
        <v>3.819444444444442E-2</v>
      </c>
      <c r="Y21" t="s">
        <v>180</v>
      </c>
    </row>
    <row r="22" spans="1:25" outlineLevel="1" x14ac:dyDescent="0.15">
      <c r="A22" s="3">
        <v>35892</v>
      </c>
      <c r="B22" s="3" t="str">
        <f>VLOOKUP(F22, Aircraft!A$2:C$99, 2, FALSE)</f>
        <v>PA28</v>
      </c>
      <c r="C22" t="str">
        <f>VLOOKUP(F22, Aircraft!A$2:C$99, 3, FALSE)</f>
        <v>S</v>
      </c>
      <c r="D22" t="str">
        <f t="shared" si="5"/>
        <v>S</v>
      </c>
      <c r="E22" t="str">
        <f t="shared" si="6"/>
        <v>PA28</v>
      </c>
      <c r="F22" t="s">
        <v>411</v>
      </c>
      <c r="G22" t="s">
        <v>249</v>
      </c>
      <c r="H22" s="2" t="str">
        <f t="shared" si="7"/>
        <v>PUT</v>
      </c>
      <c r="I22" t="s">
        <v>250</v>
      </c>
      <c r="J22" t="s">
        <v>250</v>
      </c>
      <c r="K22" s="4">
        <v>0.63194444444444442</v>
      </c>
      <c r="L22" s="4">
        <v>0.67013888888888884</v>
      </c>
      <c r="M22" s="11">
        <f t="shared" si="3"/>
        <v>0</v>
      </c>
      <c r="N22" s="11">
        <f t="shared" si="4"/>
        <v>3.819444444444442E-2</v>
      </c>
      <c r="O22" s="11"/>
      <c r="P22" s="11"/>
      <c r="Q22" s="11"/>
      <c r="R22" s="11"/>
      <c r="S22" s="11"/>
      <c r="T22" s="11"/>
      <c r="V22" s="11"/>
      <c r="X22" s="11">
        <f t="shared" si="2"/>
        <v>3.819444444444442E-2</v>
      </c>
      <c r="Y22" t="s">
        <v>182</v>
      </c>
    </row>
    <row r="23" spans="1:25" outlineLevel="1" x14ac:dyDescent="0.15">
      <c r="A23" s="3">
        <v>35938</v>
      </c>
      <c r="B23" s="3" t="str">
        <f>VLOOKUP(F23, Aircraft!A$2:C$99, 2, FALSE)</f>
        <v>PA28</v>
      </c>
      <c r="C23" t="str">
        <f>VLOOKUP(F23, Aircraft!A$2:C$99, 3, FALSE)</f>
        <v>S</v>
      </c>
      <c r="D23" t="str">
        <f t="shared" si="5"/>
        <v>S</v>
      </c>
      <c r="E23" t="str">
        <f>IF(ISNA(B23), "", B23)</f>
        <v>PA28</v>
      </c>
      <c r="F23" t="s">
        <v>266</v>
      </c>
      <c r="G23" t="s">
        <v>249</v>
      </c>
      <c r="H23" s="2" t="str">
        <f t="shared" si="7"/>
        <v>PUT</v>
      </c>
      <c r="I23" t="s">
        <v>250</v>
      </c>
      <c r="J23" t="s">
        <v>250</v>
      </c>
      <c r="K23" s="4">
        <v>0.58333333333333337</v>
      </c>
      <c r="L23" s="4">
        <v>0.62152777777777779</v>
      </c>
      <c r="M23" s="11">
        <f t="shared" si="3"/>
        <v>0</v>
      </c>
      <c r="N23" s="11">
        <f t="shared" si="4"/>
        <v>3.819444444444442E-2</v>
      </c>
      <c r="O23" s="11"/>
      <c r="P23" s="11"/>
      <c r="Q23" s="11"/>
      <c r="R23" s="11"/>
      <c r="S23" s="11"/>
      <c r="T23" s="11"/>
      <c r="V23" s="11"/>
      <c r="X23" s="11">
        <f t="shared" si="2"/>
        <v>3.819444444444442E-2</v>
      </c>
      <c r="Y23" t="s">
        <v>261</v>
      </c>
    </row>
    <row r="24" spans="1:25" outlineLevel="1" x14ac:dyDescent="0.15">
      <c r="A24" s="3">
        <v>35939</v>
      </c>
      <c r="B24" s="3" t="str">
        <f>VLOOKUP(F24, Aircraft!A$2:C$99, 2, FALSE)</f>
        <v>PA28</v>
      </c>
      <c r="C24" t="str">
        <f>VLOOKUP(F24, Aircraft!A$2:C$99, 3, FALSE)</f>
        <v>S</v>
      </c>
      <c r="D24" t="str">
        <f t="shared" si="5"/>
        <v>S</v>
      </c>
      <c r="E24" t="str">
        <f t="shared" si="6"/>
        <v>PA28</v>
      </c>
      <c r="F24" t="s">
        <v>413</v>
      </c>
      <c r="G24" t="s">
        <v>249</v>
      </c>
      <c r="H24" s="2" t="str">
        <f t="shared" si="7"/>
        <v>PUT</v>
      </c>
      <c r="I24" t="s">
        <v>250</v>
      </c>
      <c r="J24" t="s">
        <v>250</v>
      </c>
      <c r="K24" s="4">
        <v>0.59027777777777779</v>
      </c>
      <c r="L24" s="4">
        <v>0.625</v>
      </c>
      <c r="M24" s="11">
        <f t="shared" si="3"/>
        <v>0</v>
      </c>
      <c r="N24" s="11">
        <f t="shared" si="4"/>
        <v>3.472222222222221E-2</v>
      </c>
      <c r="O24" s="11"/>
      <c r="P24" s="11"/>
      <c r="Q24" s="11"/>
      <c r="R24" s="11"/>
      <c r="S24" s="11"/>
      <c r="T24" s="11"/>
      <c r="V24" s="11"/>
      <c r="X24" s="11">
        <f t="shared" si="2"/>
        <v>3.472222222222221E-2</v>
      </c>
      <c r="Y24" t="s">
        <v>261</v>
      </c>
    </row>
    <row r="25" spans="1:25" outlineLevel="1" x14ac:dyDescent="0.15">
      <c r="A25" s="3">
        <v>35962</v>
      </c>
      <c r="B25" s="3" t="str">
        <f>VLOOKUP(F25, Aircraft!A$2:C$99, 2, FALSE)</f>
        <v>PA28</v>
      </c>
      <c r="C25" t="str">
        <f>VLOOKUP(F25, Aircraft!A$2:C$99, 3, FALSE)</f>
        <v>S</v>
      </c>
      <c r="D25" t="str">
        <f t="shared" si="5"/>
        <v>S</v>
      </c>
      <c r="E25" t="str">
        <f t="shared" si="6"/>
        <v>PA28</v>
      </c>
      <c r="F25" t="s">
        <v>265</v>
      </c>
      <c r="G25" t="s">
        <v>249</v>
      </c>
      <c r="H25" s="2" t="str">
        <f t="shared" si="7"/>
        <v>PUT</v>
      </c>
      <c r="I25" t="s">
        <v>250</v>
      </c>
      <c r="J25" t="s">
        <v>250</v>
      </c>
      <c r="K25" s="4">
        <v>0.4548611111111111</v>
      </c>
      <c r="L25" s="4">
        <v>0.48958333333333331</v>
      </c>
      <c r="M25" s="11">
        <f t="shared" si="3"/>
        <v>0</v>
      </c>
      <c r="N25" s="11">
        <f t="shared" si="4"/>
        <v>3.472222222222221E-2</v>
      </c>
      <c r="O25" s="11"/>
      <c r="P25" s="11"/>
      <c r="Q25" s="11"/>
      <c r="R25" s="11"/>
      <c r="S25" s="11"/>
      <c r="T25" s="11"/>
      <c r="V25" s="11"/>
      <c r="X25" s="11">
        <f t="shared" si="2"/>
        <v>3.472222222222221E-2</v>
      </c>
      <c r="Y25" t="s">
        <v>261</v>
      </c>
    </row>
    <row r="26" spans="1:25" outlineLevel="1" x14ac:dyDescent="0.15">
      <c r="A26" s="3">
        <v>35980</v>
      </c>
      <c r="B26" s="3" t="str">
        <f>VLOOKUP(F26, Aircraft!A$2:C$99, 2, FALSE)</f>
        <v>PA28</v>
      </c>
      <c r="C26" t="str">
        <f>VLOOKUP(F26, Aircraft!A$2:C$99, 3, FALSE)</f>
        <v>S</v>
      </c>
      <c r="D26" t="str">
        <f t="shared" si="5"/>
        <v>S</v>
      </c>
      <c r="E26" t="str">
        <f t="shared" si="6"/>
        <v>PA28</v>
      </c>
      <c r="F26" t="s">
        <v>267</v>
      </c>
      <c r="G26" t="s">
        <v>183</v>
      </c>
      <c r="H26" s="2" t="str">
        <f t="shared" si="7"/>
        <v>PUT</v>
      </c>
      <c r="I26" t="s">
        <v>250</v>
      </c>
      <c r="J26" t="s">
        <v>250</v>
      </c>
      <c r="K26" s="4">
        <v>0.70486111111111116</v>
      </c>
      <c r="L26" s="4">
        <v>0.75</v>
      </c>
      <c r="M26" s="11">
        <f t="shared" si="3"/>
        <v>0</v>
      </c>
      <c r="N26" s="11">
        <f t="shared" si="4"/>
        <v>4.513888888888884E-2</v>
      </c>
      <c r="O26" s="11"/>
      <c r="P26" s="11"/>
      <c r="Q26" s="11"/>
      <c r="R26" s="11"/>
      <c r="S26" s="11"/>
      <c r="T26" s="11"/>
      <c r="V26" s="11"/>
      <c r="X26" s="11">
        <f t="shared" si="2"/>
        <v>4.513888888888884E-2</v>
      </c>
      <c r="Y26" t="s">
        <v>184</v>
      </c>
    </row>
    <row r="27" spans="1:25" outlineLevel="1" x14ac:dyDescent="0.15">
      <c r="A27" s="3">
        <v>35993</v>
      </c>
      <c r="B27" s="3" t="str">
        <f>VLOOKUP(F27, Aircraft!A$2:C$99, 2, FALSE)</f>
        <v>PA28</v>
      </c>
      <c r="C27" t="str">
        <f>VLOOKUP(F27, Aircraft!A$2:C$99, 3, FALSE)</f>
        <v>S</v>
      </c>
      <c r="D27" t="str">
        <f t="shared" si="5"/>
        <v>S</v>
      </c>
      <c r="E27" t="str">
        <f t="shared" si="6"/>
        <v>PA28</v>
      </c>
      <c r="F27" t="s">
        <v>267</v>
      </c>
      <c r="G27" t="s">
        <v>249</v>
      </c>
      <c r="H27" s="2" t="str">
        <f t="shared" si="7"/>
        <v>PUT</v>
      </c>
      <c r="I27" t="s">
        <v>250</v>
      </c>
      <c r="J27" t="s">
        <v>250</v>
      </c>
      <c r="K27" s="4">
        <v>0.57986111111111105</v>
      </c>
      <c r="L27" s="4">
        <v>0.62152777777777779</v>
      </c>
      <c r="M27" s="11">
        <f t="shared" si="3"/>
        <v>0</v>
      </c>
      <c r="N27" s="11">
        <f t="shared" si="4"/>
        <v>4.1666666666666741E-2</v>
      </c>
      <c r="O27" s="11"/>
      <c r="P27" s="11"/>
      <c r="Q27" s="11"/>
      <c r="R27" s="11"/>
      <c r="S27" s="11"/>
      <c r="T27" s="11"/>
      <c r="V27" s="11"/>
      <c r="X27" s="11">
        <f t="shared" si="2"/>
        <v>4.1666666666666741E-2</v>
      </c>
      <c r="Y27" t="s">
        <v>185</v>
      </c>
    </row>
    <row r="28" spans="1:25" outlineLevel="1" x14ac:dyDescent="0.15">
      <c r="A28" s="3">
        <v>35994</v>
      </c>
      <c r="B28" s="3" t="str">
        <f>VLOOKUP(F28, Aircraft!A$2:C$99, 2, FALSE)</f>
        <v>PA28</v>
      </c>
      <c r="C28" t="str">
        <f>VLOOKUP(F28, Aircraft!A$2:C$99, 3, FALSE)</f>
        <v>S</v>
      </c>
      <c r="D28" t="str">
        <f t="shared" si="5"/>
        <v>S</v>
      </c>
      <c r="E28" t="str">
        <f t="shared" si="6"/>
        <v>PA28</v>
      </c>
      <c r="F28" t="s">
        <v>413</v>
      </c>
      <c r="G28" t="s">
        <v>249</v>
      </c>
      <c r="H28" s="2" t="str">
        <f t="shared" si="7"/>
        <v>PUT</v>
      </c>
      <c r="I28" t="s">
        <v>250</v>
      </c>
      <c r="J28" t="s">
        <v>250</v>
      </c>
      <c r="K28" s="4">
        <v>0.64930555555555558</v>
      </c>
      <c r="L28" s="4">
        <v>0.69097222222222221</v>
      </c>
      <c r="M28" s="11">
        <f t="shared" si="3"/>
        <v>0</v>
      </c>
      <c r="N28" s="11">
        <f t="shared" si="4"/>
        <v>4.166666666666663E-2</v>
      </c>
      <c r="O28" s="11"/>
      <c r="P28" s="11"/>
      <c r="Q28" s="11"/>
      <c r="R28" s="11"/>
      <c r="S28" s="11"/>
      <c r="T28" s="11"/>
      <c r="V28" s="11"/>
      <c r="X28" s="11">
        <f t="shared" si="2"/>
        <v>4.166666666666663E-2</v>
      </c>
      <c r="Y28" t="s">
        <v>185</v>
      </c>
    </row>
    <row r="29" spans="1:25" outlineLevel="1" x14ac:dyDescent="0.15">
      <c r="A29" s="3">
        <v>36018</v>
      </c>
      <c r="B29" s="3" t="str">
        <f>VLOOKUP(F29, Aircraft!A$2:C$99, 2, FALSE)</f>
        <v>PA28</v>
      </c>
      <c r="C29" t="str">
        <f>VLOOKUP(F29, Aircraft!A$2:C$99, 3, FALSE)</f>
        <v>S</v>
      </c>
      <c r="D29" t="str">
        <f t="shared" si="5"/>
        <v>S</v>
      </c>
      <c r="E29" t="str">
        <f t="shared" si="6"/>
        <v>PA28</v>
      </c>
      <c r="F29" t="s">
        <v>266</v>
      </c>
      <c r="G29" t="s">
        <v>249</v>
      </c>
      <c r="H29" s="2" t="str">
        <f t="shared" si="7"/>
        <v>PUT</v>
      </c>
      <c r="I29" t="s">
        <v>250</v>
      </c>
      <c r="J29" t="s">
        <v>250</v>
      </c>
      <c r="K29" s="4">
        <v>0.51736111111111105</v>
      </c>
      <c r="L29" s="4">
        <v>0.55902777777777779</v>
      </c>
      <c r="M29" s="11">
        <f t="shared" si="3"/>
        <v>0</v>
      </c>
      <c r="N29" s="11">
        <f t="shared" si="4"/>
        <v>4.1666666666666741E-2</v>
      </c>
      <c r="O29" s="11"/>
      <c r="P29" s="11"/>
      <c r="Q29" s="11"/>
      <c r="R29" s="11"/>
      <c r="S29" s="11"/>
      <c r="T29" s="11"/>
      <c r="V29" s="11"/>
      <c r="X29" s="11">
        <f t="shared" si="2"/>
        <v>4.1666666666666741E-2</v>
      </c>
      <c r="Y29" t="s">
        <v>186</v>
      </c>
    </row>
    <row r="30" spans="1:25" outlineLevel="1" x14ac:dyDescent="0.15">
      <c r="A30" s="3">
        <v>36126</v>
      </c>
      <c r="B30" s="3" t="str">
        <f>VLOOKUP(F30, Aircraft!A$2:C$99, 2, FALSE)</f>
        <v>PA28</v>
      </c>
      <c r="C30" t="str">
        <f>VLOOKUP(F30, Aircraft!A$2:C$99, 3, FALSE)</f>
        <v>S</v>
      </c>
      <c r="D30" t="str">
        <f t="shared" si="5"/>
        <v>S</v>
      </c>
      <c r="E30" t="str">
        <f t="shared" si="6"/>
        <v>PA28</v>
      </c>
      <c r="F30" t="s">
        <v>187</v>
      </c>
      <c r="G30" t="s">
        <v>183</v>
      </c>
      <c r="H30" s="2" t="str">
        <f t="shared" si="7"/>
        <v>PUT</v>
      </c>
      <c r="I30" t="s">
        <v>250</v>
      </c>
      <c r="J30" t="s">
        <v>250</v>
      </c>
      <c r="K30" s="4">
        <v>0.4375</v>
      </c>
      <c r="L30" s="4">
        <v>0.4826388888888889</v>
      </c>
      <c r="M30" s="11">
        <f t="shared" si="3"/>
        <v>0</v>
      </c>
      <c r="N30" s="11">
        <f t="shared" si="4"/>
        <v>4.5138888888888895E-2</v>
      </c>
      <c r="O30" s="11"/>
      <c r="P30" s="11"/>
      <c r="Q30" s="11"/>
      <c r="R30" s="11"/>
      <c r="S30" s="11"/>
      <c r="T30" s="11"/>
      <c r="V30" s="11"/>
      <c r="X30" s="11">
        <f t="shared" si="2"/>
        <v>4.5138888888888895E-2</v>
      </c>
      <c r="Y30" t="s">
        <v>188</v>
      </c>
    </row>
    <row r="31" spans="1:25" outlineLevel="1" x14ac:dyDescent="0.15">
      <c r="A31" s="3">
        <v>36126</v>
      </c>
      <c r="B31" s="3" t="str">
        <f>VLOOKUP(F31, Aircraft!A$2:C$99, 2, FALSE)</f>
        <v>PA28</v>
      </c>
      <c r="C31" t="str">
        <f>VLOOKUP(F31, Aircraft!A$2:C$99, 3, FALSE)</f>
        <v>S</v>
      </c>
      <c r="D31" t="str">
        <f t="shared" si="5"/>
        <v>S</v>
      </c>
      <c r="E31" t="str">
        <f t="shared" si="6"/>
        <v>PA28</v>
      </c>
      <c r="F31" t="s">
        <v>187</v>
      </c>
      <c r="G31" t="s">
        <v>249</v>
      </c>
      <c r="H31" s="2" t="str">
        <f t="shared" si="7"/>
        <v>PUT</v>
      </c>
      <c r="I31" t="s">
        <v>250</v>
      </c>
      <c r="J31" t="s">
        <v>250</v>
      </c>
      <c r="K31" s="4">
        <v>0.61458333333333337</v>
      </c>
      <c r="L31" s="4">
        <v>0.63888888888888895</v>
      </c>
      <c r="M31" s="11">
        <f t="shared" si="3"/>
        <v>0</v>
      </c>
      <c r="N31" s="11">
        <f t="shared" si="4"/>
        <v>2.430555555555558E-2</v>
      </c>
      <c r="O31" s="11"/>
      <c r="P31" s="11"/>
      <c r="Q31" s="11"/>
      <c r="R31" s="11"/>
      <c r="S31" s="11"/>
      <c r="T31" s="11"/>
      <c r="V31" s="11"/>
      <c r="X31" s="11">
        <f t="shared" si="2"/>
        <v>2.430555555555558E-2</v>
      </c>
      <c r="Y31" t="s">
        <v>189</v>
      </c>
    </row>
    <row r="32" spans="1:25" outlineLevel="1" x14ac:dyDescent="0.15">
      <c r="A32" s="3">
        <v>36126</v>
      </c>
      <c r="B32" s="3" t="str">
        <f>VLOOKUP(F32, Aircraft!A$2:C$99, 2, FALSE)</f>
        <v>PA28</v>
      </c>
      <c r="C32" t="str">
        <f>VLOOKUP(F32, Aircraft!A$2:C$99, 3, FALSE)</f>
        <v>S</v>
      </c>
      <c r="D32" t="str">
        <f t="shared" si="5"/>
        <v>S</v>
      </c>
      <c r="E32" t="str">
        <f t="shared" si="6"/>
        <v>PA28</v>
      </c>
      <c r="F32" t="s">
        <v>187</v>
      </c>
      <c r="G32" t="s">
        <v>354</v>
      </c>
      <c r="H32" s="2" t="str">
        <f t="shared" si="7"/>
        <v>PUT</v>
      </c>
      <c r="I32" t="s">
        <v>250</v>
      </c>
      <c r="J32" t="s">
        <v>250</v>
      </c>
      <c r="K32" s="4">
        <v>0.64930555555555558</v>
      </c>
      <c r="L32" s="4">
        <v>0.67361111111111116</v>
      </c>
      <c r="M32" s="11">
        <f t="shared" si="3"/>
        <v>0</v>
      </c>
      <c r="N32" s="11">
        <f t="shared" si="4"/>
        <v>2.430555555555558E-2</v>
      </c>
      <c r="O32" s="11"/>
      <c r="P32" s="11"/>
      <c r="Q32" s="11"/>
      <c r="R32" s="11"/>
      <c r="S32" s="11"/>
      <c r="T32" s="11"/>
      <c r="V32" s="11"/>
      <c r="X32" s="11">
        <f t="shared" si="2"/>
        <v>2.430555555555558E-2</v>
      </c>
      <c r="Y32" t="s">
        <v>190</v>
      </c>
    </row>
    <row r="33" spans="1:25" outlineLevel="1" x14ac:dyDescent="0.15">
      <c r="A33" s="3">
        <v>36126</v>
      </c>
      <c r="B33" s="3" t="str">
        <f>VLOOKUP(F33, Aircraft!A$2:C$99, 2, FALSE)</f>
        <v>PA28</v>
      </c>
      <c r="C33" t="str">
        <f>VLOOKUP(F33, Aircraft!A$2:C$99, 3, FALSE)</f>
        <v>S</v>
      </c>
      <c r="D33" t="str">
        <f t="shared" si="5"/>
        <v>S</v>
      </c>
      <c r="E33" t="str">
        <f t="shared" si="6"/>
        <v>PA28</v>
      </c>
      <c r="F33" t="s">
        <v>187</v>
      </c>
      <c r="G33" t="s">
        <v>191</v>
      </c>
      <c r="H33" s="2" t="str">
        <f t="shared" si="7"/>
        <v>P1</v>
      </c>
      <c r="I33" t="s">
        <v>250</v>
      </c>
      <c r="J33" t="s">
        <v>250</v>
      </c>
      <c r="K33" s="4">
        <v>0.67708333333333337</v>
      </c>
      <c r="L33" s="4">
        <v>0.68402777777777779</v>
      </c>
      <c r="M33" s="11">
        <f t="shared" si="3"/>
        <v>6.9444444444444198E-3</v>
      </c>
      <c r="N33" s="11">
        <f t="shared" si="4"/>
        <v>0</v>
      </c>
      <c r="O33" s="11"/>
      <c r="P33" s="11"/>
      <c r="Q33" s="11"/>
      <c r="R33" s="11"/>
      <c r="S33" s="11"/>
      <c r="T33" s="11"/>
      <c r="V33" s="11"/>
      <c r="X33" s="11">
        <f t="shared" si="2"/>
        <v>6.9444444444444198E-3</v>
      </c>
      <c r="Y33" t="s">
        <v>192</v>
      </c>
    </row>
    <row r="34" spans="1:25" x14ac:dyDescent="0.15">
      <c r="O34" s="11"/>
      <c r="P34" s="11"/>
      <c r="Q34" s="11"/>
      <c r="R34" s="11"/>
      <c r="S34" s="11"/>
      <c r="T34" s="11"/>
      <c r="V34" s="11"/>
      <c r="X34" s="11"/>
    </row>
    <row r="35" spans="1:25" outlineLevel="1" x14ac:dyDescent="0.15">
      <c r="A35" s="3">
        <v>36181</v>
      </c>
      <c r="B35" s="3" t="str">
        <f>VLOOKUP(F35, Aircraft!A$2:C$99, 2, FALSE)</f>
        <v>PA28</v>
      </c>
      <c r="C35" t="str">
        <f>VLOOKUP(F35, Aircraft!A$2:C$99, 3, FALSE)</f>
        <v>S</v>
      </c>
      <c r="D35" t="str">
        <f t="shared" si="5"/>
        <v>S</v>
      </c>
      <c r="E35" t="str">
        <f t="shared" si="6"/>
        <v>PA28</v>
      </c>
      <c r="F35" t="s">
        <v>264</v>
      </c>
      <c r="G35" t="s">
        <v>249</v>
      </c>
      <c r="H35" s="2" t="str">
        <f t="shared" si="7"/>
        <v>PUT</v>
      </c>
      <c r="I35" t="s">
        <v>250</v>
      </c>
      <c r="J35" t="s">
        <v>250</v>
      </c>
      <c r="K35" s="4">
        <v>0.63402777777777775</v>
      </c>
      <c r="L35" s="4">
        <v>0.67708333333333337</v>
      </c>
      <c r="M35" s="11">
        <f t="shared" si="3"/>
        <v>0</v>
      </c>
      <c r="N35" s="11">
        <f t="shared" si="4"/>
        <v>4.3055555555555625E-2</v>
      </c>
      <c r="O35" s="11"/>
      <c r="P35" s="11"/>
      <c r="Q35" s="11"/>
      <c r="R35" s="11"/>
      <c r="S35" s="11"/>
      <c r="T35" s="11"/>
      <c r="V35" s="11"/>
      <c r="X35" s="11">
        <f t="shared" si="2"/>
        <v>4.3055555555555625E-2</v>
      </c>
      <c r="Y35" t="s">
        <v>193</v>
      </c>
    </row>
    <row r="36" spans="1:25" outlineLevel="1" x14ac:dyDescent="0.15">
      <c r="A36" s="3">
        <v>36237</v>
      </c>
      <c r="B36" s="3" t="str">
        <f>VLOOKUP(F36, Aircraft!A$2:C$99, 2, FALSE)</f>
        <v>PA28</v>
      </c>
      <c r="C36" t="str">
        <f>VLOOKUP(F36, Aircraft!A$2:C$99, 3, FALSE)</f>
        <v>S</v>
      </c>
      <c r="D36" t="str">
        <f t="shared" si="5"/>
        <v>S</v>
      </c>
      <c r="E36" t="str">
        <f t="shared" si="6"/>
        <v>PA28</v>
      </c>
      <c r="F36" t="s">
        <v>264</v>
      </c>
      <c r="G36" t="s">
        <v>249</v>
      </c>
      <c r="H36" s="2" t="str">
        <f t="shared" si="7"/>
        <v>PUT</v>
      </c>
      <c r="I36" t="s">
        <v>250</v>
      </c>
      <c r="J36" t="s">
        <v>250</v>
      </c>
      <c r="K36" s="4">
        <v>0.44791666666666669</v>
      </c>
      <c r="L36" s="4">
        <v>0.4861111111111111</v>
      </c>
      <c r="M36" s="11">
        <f t="shared" si="3"/>
        <v>0</v>
      </c>
      <c r="N36" s="11">
        <f t="shared" si="4"/>
        <v>3.819444444444442E-2</v>
      </c>
      <c r="O36" s="11"/>
      <c r="P36" s="11"/>
      <c r="Q36" s="11"/>
      <c r="R36" s="11"/>
      <c r="S36" s="11"/>
      <c r="T36" s="11"/>
      <c r="V36" s="11"/>
      <c r="X36" s="11">
        <f t="shared" si="2"/>
        <v>3.819444444444442E-2</v>
      </c>
      <c r="Y36" t="s">
        <v>185</v>
      </c>
    </row>
    <row r="37" spans="1:25" outlineLevel="1" x14ac:dyDescent="0.15">
      <c r="A37" s="3">
        <v>36246</v>
      </c>
      <c r="B37" s="3" t="str">
        <f>VLOOKUP(F37, Aircraft!A$2:C$99, 2, FALSE)</f>
        <v>PA28</v>
      </c>
      <c r="C37" t="str">
        <f>VLOOKUP(F37, Aircraft!A$2:C$99, 3, FALSE)</f>
        <v>S</v>
      </c>
      <c r="D37" t="str">
        <f t="shared" si="5"/>
        <v>S</v>
      </c>
      <c r="E37" t="str">
        <f t="shared" si="6"/>
        <v>PA28</v>
      </c>
      <c r="F37" t="s">
        <v>187</v>
      </c>
      <c r="G37" t="s">
        <v>249</v>
      </c>
      <c r="H37" s="2" t="str">
        <f t="shared" si="7"/>
        <v>PUT</v>
      </c>
      <c r="I37" t="s">
        <v>250</v>
      </c>
      <c r="J37" t="s">
        <v>250</v>
      </c>
      <c r="K37" s="4">
        <v>0.4375</v>
      </c>
      <c r="L37" s="4">
        <v>0.47569444444444442</v>
      </c>
      <c r="M37" s="11">
        <f t="shared" si="3"/>
        <v>0</v>
      </c>
      <c r="N37" s="11">
        <f t="shared" si="4"/>
        <v>3.819444444444442E-2</v>
      </c>
      <c r="O37" s="11"/>
      <c r="P37" s="11"/>
      <c r="Q37" s="11"/>
      <c r="R37" s="11"/>
      <c r="S37" s="11"/>
      <c r="T37" s="11"/>
      <c r="V37" s="11"/>
      <c r="X37" s="11">
        <f t="shared" si="2"/>
        <v>3.819444444444442E-2</v>
      </c>
      <c r="Y37" t="s">
        <v>195</v>
      </c>
    </row>
    <row r="38" spans="1:25" outlineLevel="1" x14ac:dyDescent="0.15">
      <c r="A38" s="3">
        <v>36258</v>
      </c>
      <c r="B38" s="3" t="str">
        <f>VLOOKUP(F38, Aircraft!A$2:C$99, 2, FALSE)</f>
        <v>PA28</v>
      </c>
      <c r="C38" t="str">
        <f>VLOOKUP(F38, Aircraft!A$2:C$99, 3, FALSE)</f>
        <v>S</v>
      </c>
      <c r="D38" t="str">
        <f t="shared" si="5"/>
        <v>S</v>
      </c>
      <c r="E38" t="str">
        <f t="shared" si="6"/>
        <v>PA28</v>
      </c>
      <c r="F38" t="s">
        <v>187</v>
      </c>
      <c r="G38" t="s">
        <v>249</v>
      </c>
      <c r="H38" s="2" t="str">
        <f t="shared" si="7"/>
        <v>PUT</v>
      </c>
      <c r="I38" t="s">
        <v>250</v>
      </c>
      <c r="J38" t="s">
        <v>250</v>
      </c>
      <c r="K38" s="4">
        <v>0.70833333333333337</v>
      </c>
      <c r="L38" s="4">
        <v>0.73958333333333337</v>
      </c>
      <c r="M38" s="11">
        <f t="shared" si="3"/>
        <v>0</v>
      </c>
      <c r="N38" s="11">
        <f t="shared" si="4"/>
        <v>3.125E-2</v>
      </c>
      <c r="O38" s="11"/>
      <c r="P38" s="11"/>
      <c r="Q38" s="11"/>
      <c r="R38" s="11"/>
      <c r="S38" s="11"/>
      <c r="T38" s="11"/>
      <c r="V38" s="11"/>
      <c r="X38" s="11">
        <f t="shared" si="2"/>
        <v>3.125E-2</v>
      </c>
      <c r="Y38" t="s">
        <v>194</v>
      </c>
    </row>
    <row r="39" spans="1:25" outlineLevel="1" x14ac:dyDescent="0.15">
      <c r="A39" s="3">
        <v>36330</v>
      </c>
      <c r="B39" s="3" t="str">
        <f>VLOOKUP(F39, Aircraft!A$2:C$99, 2, FALSE)</f>
        <v>PA28</v>
      </c>
      <c r="C39" t="str">
        <f>VLOOKUP(F39, Aircraft!A$2:C$99, 3, FALSE)</f>
        <v>S</v>
      </c>
      <c r="D39" t="str">
        <f t="shared" si="5"/>
        <v>S</v>
      </c>
      <c r="E39" t="str">
        <f t="shared" si="6"/>
        <v>PA28</v>
      </c>
      <c r="F39" t="s">
        <v>267</v>
      </c>
      <c r="G39" t="s">
        <v>249</v>
      </c>
      <c r="H39" s="2" t="str">
        <f t="shared" si="7"/>
        <v>PUT</v>
      </c>
      <c r="I39" t="s">
        <v>250</v>
      </c>
      <c r="J39" t="s">
        <v>250</v>
      </c>
      <c r="K39" s="4">
        <v>0.75347222222222221</v>
      </c>
      <c r="L39" s="4">
        <v>0.78472222222222221</v>
      </c>
      <c r="M39" s="11">
        <f t="shared" si="3"/>
        <v>0</v>
      </c>
      <c r="N39" s="11">
        <f t="shared" si="4"/>
        <v>3.125E-2</v>
      </c>
      <c r="O39" s="11"/>
      <c r="P39" s="11"/>
      <c r="Q39" s="11"/>
      <c r="R39" s="11"/>
      <c r="S39" s="11"/>
      <c r="T39" s="11"/>
      <c r="V39" s="11"/>
      <c r="X39" s="11">
        <f t="shared" si="2"/>
        <v>3.125E-2</v>
      </c>
      <c r="Y39" t="s">
        <v>261</v>
      </c>
    </row>
    <row r="40" spans="1:25" outlineLevel="1" x14ac:dyDescent="0.15">
      <c r="A40" s="3">
        <v>36354</v>
      </c>
      <c r="B40" s="3" t="str">
        <f>VLOOKUP(F40, Aircraft!A$2:C$99, 2, FALSE)</f>
        <v>PA28</v>
      </c>
      <c r="C40" t="str">
        <f>VLOOKUP(F40, Aircraft!A$2:C$99, 3, FALSE)</f>
        <v>S</v>
      </c>
      <c r="D40" t="str">
        <f t="shared" si="5"/>
        <v>S</v>
      </c>
      <c r="E40" t="str">
        <f t="shared" si="6"/>
        <v>PA28</v>
      </c>
      <c r="F40" t="s">
        <v>264</v>
      </c>
      <c r="G40" t="s">
        <v>196</v>
      </c>
      <c r="H40" s="2" t="str">
        <f t="shared" si="7"/>
        <v>PUT</v>
      </c>
      <c r="I40" t="s">
        <v>250</v>
      </c>
      <c r="J40" t="s">
        <v>250</v>
      </c>
      <c r="K40" s="4">
        <v>0.59375</v>
      </c>
      <c r="L40" s="4">
        <v>0.63194444444444442</v>
      </c>
      <c r="M40" s="11">
        <f t="shared" si="3"/>
        <v>0</v>
      </c>
      <c r="N40" s="11">
        <f t="shared" si="4"/>
        <v>3.819444444444442E-2</v>
      </c>
      <c r="O40" s="11"/>
      <c r="P40" s="11"/>
      <c r="Q40" s="11"/>
      <c r="R40" s="11"/>
      <c r="S40" s="11"/>
      <c r="T40" s="11"/>
      <c r="V40" s="11"/>
      <c r="X40" s="11">
        <f t="shared" si="2"/>
        <v>3.819444444444442E-2</v>
      </c>
      <c r="Y40" t="s">
        <v>194</v>
      </c>
    </row>
    <row r="41" spans="1:25" outlineLevel="1" x14ac:dyDescent="0.15">
      <c r="A41" s="3">
        <v>36360</v>
      </c>
      <c r="B41" s="3" t="str">
        <f>VLOOKUP(F41, Aircraft!A$2:C$99, 2, FALSE)</f>
        <v>PA28</v>
      </c>
      <c r="C41" t="str">
        <f>VLOOKUP(F41, Aircraft!A$2:C$99, 3, FALSE)</f>
        <v>S</v>
      </c>
      <c r="D41" t="str">
        <f t="shared" si="5"/>
        <v>S</v>
      </c>
      <c r="E41" t="str">
        <f t="shared" si="6"/>
        <v>PA28</v>
      </c>
      <c r="F41" t="s">
        <v>267</v>
      </c>
      <c r="G41" t="s">
        <v>196</v>
      </c>
      <c r="H41" s="2" t="str">
        <f t="shared" si="7"/>
        <v>PUT</v>
      </c>
      <c r="I41" t="s">
        <v>250</v>
      </c>
      <c r="J41" t="s">
        <v>250</v>
      </c>
      <c r="K41" s="4">
        <v>0.5625</v>
      </c>
      <c r="L41" s="4">
        <v>0.60069444444444442</v>
      </c>
      <c r="M41" s="11">
        <f t="shared" si="3"/>
        <v>0</v>
      </c>
      <c r="N41" s="11">
        <f t="shared" si="4"/>
        <v>3.819444444444442E-2</v>
      </c>
      <c r="O41" s="11"/>
      <c r="P41" s="11"/>
      <c r="Q41" s="11"/>
      <c r="R41" s="11"/>
      <c r="S41" s="11"/>
      <c r="T41" s="11"/>
      <c r="V41" s="11"/>
      <c r="X41" s="11">
        <f t="shared" si="2"/>
        <v>3.819444444444442E-2</v>
      </c>
      <c r="Y41" t="s">
        <v>194</v>
      </c>
    </row>
    <row r="42" spans="1:25" outlineLevel="1" x14ac:dyDescent="0.15">
      <c r="A42" s="3">
        <v>36365</v>
      </c>
      <c r="B42" s="3" t="str">
        <f>VLOOKUP(F42, Aircraft!A$2:C$99, 2, FALSE)</f>
        <v>PA28</v>
      </c>
      <c r="C42" t="str">
        <f>VLOOKUP(F42, Aircraft!A$2:C$99, 3, FALSE)</f>
        <v>S</v>
      </c>
      <c r="D42" t="str">
        <f t="shared" si="5"/>
        <v>S</v>
      </c>
      <c r="E42" t="str">
        <f t="shared" si="6"/>
        <v>PA28</v>
      </c>
      <c r="F42" t="s">
        <v>267</v>
      </c>
      <c r="G42" t="s">
        <v>249</v>
      </c>
      <c r="H42" s="2" t="str">
        <f t="shared" si="7"/>
        <v>PUT</v>
      </c>
      <c r="I42" t="s">
        <v>250</v>
      </c>
      <c r="J42" t="s">
        <v>250</v>
      </c>
      <c r="K42" s="4">
        <v>0.59027777777777779</v>
      </c>
      <c r="L42" s="4">
        <v>0.63194444444444442</v>
      </c>
      <c r="M42" s="11">
        <f t="shared" si="3"/>
        <v>0</v>
      </c>
      <c r="N42" s="11">
        <f t="shared" si="4"/>
        <v>4.166666666666663E-2</v>
      </c>
      <c r="O42" s="11"/>
      <c r="P42" s="11"/>
      <c r="Q42" s="11"/>
      <c r="R42" s="11"/>
      <c r="S42" s="11"/>
      <c r="T42" s="11"/>
      <c r="V42" s="11"/>
      <c r="X42" s="11">
        <f t="shared" si="2"/>
        <v>4.166666666666663E-2</v>
      </c>
      <c r="Y42" t="s">
        <v>198</v>
      </c>
    </row>
    <row r="43" spans="1:25" outlineLevel="1" x14ac:dyDescent="0.15">
      <c r="A43" s="3">
        <v>36372</v>
      </c>
      <c r="B43" s="3" t="str">
        <f>VLOOKUP(F43, Aircraft!A$2:C$99, 2, FALSE)</f>
        <v>PA28</v>
      </c>
      <c r="C43" t="str">
        <f>VLOOKUP(F43, Aircraft!A$2:C$99, 3, FALSE)</f>
        <v>S</v>
      </c>
      <c r="D43" t="str">
        <f t="shared" si="5"/>
        <v>S</v>
      </c>
      <c r="E43" t="str">
        <f t="shared" si="6"/>
        <v>PA28</v>
      </c>
      <c r="F43" t="s">
        <v>267</v>
      </c>
      <c r="G43" t="s">
        <v>199</v>
      </c>
      <c r="H43" s="2" t="str">
        <f t="shared" si="7"/>
        <v>PUT</v>
      </c>
      <c r="I43" t="s">
        <v>250</v>
      </c>
      <c r="J43" t="s">
        <v>250</v>
      </c>
      <c r="K43" s="4">
        <v>0.62847222222222221</v>
      </c>
      <c r="L43" s="4">
        <v>0.67013888888888884</v>
      </c>
      <c r="M43" s="11">
        <f t="shared" ref="M43:M75" si="8">IF(AND(H43="P1", D43="S"), L43-K43, 0)</f>
        <v>0</v>
      </c>
      <c r="N43" s="11">
        <f t="shared" ref="N43:N77" si="9">IF(AND(H43="PUT", D43="S"), L43-K43, 0)</f>
        <v>4.166666666666663E-2</v>
      </c>
      <c r="O43" s="11"/>
      <c r="P43" s="11"/>
      <c r="Q43" s="11"/>
      <c r="R43" s="11"/>
      <c r="S43" s="11"/>
      <c r="T43" s="11"/>
      <c r="V43" s="11"/>
      <c r="X43" s="11">
        <f t="shared" si="2"/>
        <v>4.166666666666663E-2</v>
      </c>
      <c r="Y43" t="s">
        <v>185</v>
      </c>
    </row>
    <row r="44" spans="1:25" outlineLevel="1" x14ac:dyDescent="0.15">
      <c r="A44" s="3">
        <v>36379</v>
      </c>
      <c r="B44" s="3" t="str">
        <f>VLOOKUP(F44, Aircraft!A$2:C$99, 2, FALSE)</f>
        <v>PA28</v>
      </c>
      <c r="C44" t="str">
        <f>VLOOKUP(F44, Aircraft!A$2:C$99, 3, FALSE)</f>
        <v>S</v>
      </c>
      <c r="D44" t="str">
        <f t="shared" si="5"/>
        <v>S</v>
      </c>
      <c r="E44" t="str">
        <f t="shared" si="6"/>
        <v>PA28</v>
      </c>
      <c r="F44" t="s">
        <v>267</v>
      </c>
      <c r="G44" t="s">
        <v>199</v>
      </c>
      <c r="H44" s="2" t="str">
        <f t="shared" si="7"/>
        <v>PUT</v>
      </c>
      <c r="I44" t="s">
        <v>250</v>
      </c>
      <c r="J44" t="s">
        <v>250</v>
      </c>
      <c r="K44" s="4">
        <v>0.71527777777777779</v>
      </c>
      <c r="L44" s="4">
        <v>0.74652777777777779</v>
      </c>
      <c r="M44" s="11">
        <f t="shared" si="8"/>
        <v>0</v>
      </c>
      <c r="N44" s="11">
        <f t="shared" si="9"/>
        <v>3.125E-2</v>
      </c>
      <c r="O44" s="11"/>
      <c r="P44" s="11"/>
      <c r="Q44" s="11"/>
      <c r="R44" s="11"/>
      <c r="S44" s="11"/>
      <c r="T44" s="11"/>
      <c r="V44" s="11"/>
      <c r="X44" s="11">
        <f t="shared" si="2"/>
        <v>3.125E-2</v>
      </c>
      <c r="Y44" t="s">
        <v>200</v>
      </c>
    </row>
    <row r="45" spans="1:25" outlineLevel="1" x14ac:dyDescent="0.15">
      <c r="A45" s="3">
        <v>36380</v>
      </c>
      <c r="B45" s="3" t="str">
        <f>VLOOKUP(F45, Aircraft!A$2:C$99, 2, FALSE)</f>
        <v>PA28</v>
      </c>
      <c r="C45" t="str">
        <f>VLOOKUP(F45, Aircraft!A$2:C$99, 3, FALSE)</f>
        <v>S</v>
      </c>
      <c r="D45" t="str">
        <f t="shared" si="5"/>
        <v>S</v>
      </c>
      <c r="E45" t="str">
        <f t="shared" si="6"/>
        <v>PA28</v>
      </c>
      <c r="F45" t="s">
        <v>267</v>
      </c>
      <c r="G45" t="s">
        <v>196</v>
      </c>
      <c r="H45" s="2" t="str">
        <f t="shared" si="7"/>
        <v>PUT</v>
      </c>
      <c r="I45" t="s">
        <v>250</v>
      </c>
      <c r="J45" t="s">
        <v>76</v>
      </c>
      <c r="K45" s="4">
        <v>0.64236111111111105</v>
      </c>
      <c r="L45" s="4">
        <v>0.68611111111111101</v>
      </c>
      <c r="M45" s="11">
        <f t="shared" si="8"/>
        <v>0</v>
      </c>
      <c r="N45" s="11">
        <f t="shared" si="9"/>
        <v>4.3749999999999956E-2</v>
      </c>
      <c r="O45" s="11"/>
      <c r="P45" s="11"/>
      <c r="Q45" s="11"/>
      <c r="R45" s="11"/>
      <c r="S45" s="11"/>
      <c r="T45" s="11"/>
      <c r="V45" s="11"/>
      <c r="X45" s="11">
        <f t="shared" si="2"/>
        <v>4.3749999999999956E-2</v>
      </c>
      <c r="Y45" t="s">
        <v>201</v>
      </c>
    </row>
    <row r="46" spans="1:25" outlineLevel="1" x14ac:dyDescent="0.15">
      <c r="A46" s="3">
        <v>36380</v>
      </c>
      <c r="B46" s="3" t="str">
        <f>VLOOKUP(F46, Aircraft!A$2:C$99, 2, FALSE)</f>
        <v>PA28</v>
      </c>
      <c r="C46" t="str">
        <f>VLOOKUP(F46, Aircraft!A$2:C$99, 3, FALSE)</f>
        <v>S</v>
      </c>
      <c r="D46" t="str">
        <f t="shared" si="5"/>
        <v>S</v>
      </c>
      <c r="E46" t="str">
        <f t="shared" si="6"/>
        <v>PA28</v>
      </c>
      <c r="F46" t="s">
        <v>267</v>
      </c>
      <c r="G46" t="s">
        <v>196</v>
      </c>
      <c r="H46" s="2" t="str">
        <f t="shared" si="7"/>
        <v>PUT</v>
      </c>
      <c r="I46" t="s">
        <v>148</v>
      </c>
      <c r="J46" t="s">
        <v>148</v>
      </c>
      <c r="K46" s="4">
        <v>0.70833333333333337</v>
      </c>
      <c r="L46" s="4">
        <v>0.74305555555555547</v>
      </c>
      <c r="M46" s="11">
        <f t="shared" si="8"/>
        <v>0</v>
      </c>
      <c r="N46" s="11">
        <f t="shared" si="9"/>
        <v>3.4722222222222099E-2</v>
      </c>
      <c r="O46" s="11"/>
      <c r="P46" s="11"/>
      <c r="Q46" s="11"/>
      <c r="R46" s="11"/>
      <c r="S46" s="11"/>
      <c r="T46" s="11"/>
      <c r="V46" s="11"/>
      <c r="X46" s="11">
        <f t="shared" si="2"/>
        <v>3.4722222222222099E-2</v>
      </c>
      <c r="Y46" t="s">
        <v>198</v>
      </c>
    </row>
    <row r="47" spans="1:25" outlineLevel="1" x14ac:dyDescent="0.15">
      <c r="A47" s="3">
        <v>36380</v>
      </c>
      <c r="B47" s="3" t="str">
        <f>VLOOKUP(F47, Aircraft!A$2:C$99, 2, FALSE)</f>
        <v>PA28</v>
      </c>
      <c r="C47" t="str">
        <f>VLOOKUP(F47, Aircraft!A$2:C$99, 3, FALSE)</f>
        <v>S</v>
      </c>
      <c r="D47" t="str">
        <f t="shared" si="5"/>
        <v>S</v>
      </c>
      <c r="E47" t="str">
        <f t="shared" si="6"/>
        <v>PA28</v>
      </c>
      <c r="F47" t="s">
        <v>267</v>
      </c>
      <c r="G47" t="s">
        <v>191</v>
      </c>
      <c r="H47" s="2" t="str">
        <f t="shared" si="7"/>
        <v>P1</v>
      </c>
      <c r="I47" t="s">
        <v>148</v>
      </c>
      <c r="J47" t="s">
        <v>148</v>
      </c>
      <c r="K47" s="4">
        <v>0.74305555555555547</v>
      </c>
      <c r="L47" s="4">
        <v>0.75347222222222221</v>
      </c>
      <c r="M47" s="11">
        <f t="shared" si="8"/>
        <v>1.0416666666666741E-2</v>
      </c>
      <c r="N47" s="11">
        <f t="shared" si="9"/>
        <v>0</v>
      </c>
      <c r="O47" s="11"/>
      <c r="P47" s="11"/>
      <c r="Q47" s="11"/>
      <c r="R47" s="11"/>
      <c r="S47" s="11"/>
      <c r="T47" s="11"/>
      <c r="V47" s="11"/>
      <c r="X47" s="11">
        <f t="shared" si="2"/>
        <v>1.0416666666666741E-2</v>
      </c>
      <c r="Y47" t="s">
        <v>202</v>
      </c>
    </row>
    <row r="48" spans="1:25" outlineLevel="1" x14ac:dyDescent="0.15">
      <c r="A48" s="3">
        <v>36380</v>
      </c>
      <c r="B48" s="3" t="str">
        <f>VLOOKUP(F48, Aircraft!A$2:C$99, 2, FALSE)</f>
        <v>PA28</v>
      </c>
      <c r="C48" t="str">
        <f>VLOOKUP(F48, Aircraft!A$2:C$99, 3, FALSE)</f>
        <v>S</v>
      </c>
      <c r="D48" t="str">
        <f t="shared" si="5"/>
        <v>S</v>
      </c>
      <c r="E48" t="str">
        <f t="shared" si="6"/>
        <v>PA28</v>
      </c>
      <c r="F48" t="s">
        <v>267</v>
      </c>
      <c r="G48" t="s">
        <v>196</v>
      </c>
      <c r="H48" s="2" t="str">
        <f t="shared" si="7"/>
        <v>PUT</v>
      </c>
      <c r="I48" t="s">
        <v>148</v>
      </c>
      <c r="J48" t="s">
        <v>250</v>
      </c>
      <c r="K48" s="4">
        <v>0.75347222222222221</v>
      </c>
      <c r="L48" s="4">
        <v>0.78333333333333333</v>
      </c>
      <c r="M48" s="11">
        <f t="shared" si="8"/>
        <v>0</v>
      </c>
      <c r="N48" s="11">
        <f t="shared" si="9"/>
        <v>2.9861111111111116E-2</v>
      </c>
      <c r="O48" s="11"/>
      <c r="P48" s="11"/>
      <c r="Q48" s="11"/>
      <c r="R48" s="11"/>
      <c r="S48" s="11"/>
      <c r="T48" s="11"/>
      <c r="V48" s="11"/>
      <c r="X48" s="11">
        <f t="shared" si="2"/>
        <v>2.9861111111111116E-2</v>
      </c>
      <c r="Y48" t="s">
        <v>203</v>
      </c>
    </row>
    <row r="49" spans="1:25" outlineLevel="1" x14ac:dyDescent="0.15">
      <c r="A49" s="3">
        <v>36381</v>
      </c>
      <c r="B49" s="3" t="str">
        <f>VLOOKUP(F49, Aircraft!A$2:C$99, 2, FALSE)</f>
        <v>PA28</v>
      </c>
      <c r="C49" t="str">
        <f>VLOOKUP(F49, Aircraft!A$2:C$99, 3, FALSE)</f>
        <v>S</v>
      </c>
      <c r="D49" t="str">
        <f t="shared" si="5"/>
        <v>S</v>
      </c>
      <c r="E49" t="str">
        <f t="shared" si="6"/>
        <v>PA28</v>
      </c>
      <c r="F49" t="s">
        <v>267</v>
      </c>
      <c r="G49" t="s">
        <v>204</v>
      </c>
      <c r="H49" s="2" t="str">
        <f t="shared" si="7"/>
        <v>PUT</v>
      </c>
      <c r="I49" t="s">
        <v>250</v>
      </c>
      <c r="J49" t="s">
        <v>250</v>
      </c>
      <c r="K49" s="4">
        <v>0.66319444444444442</v>
      </c>
      <c r="L49" s="4">
        <v>0.68402777777777779</v>
      </c>
      <c r="M49" s="11">
        <f t="shared" si="8"/>
        <v>0</v>
      </c>
      <c r="N49" s="11">
        <f t="shared" si="9"/>
        <v>2.083333333333337E-2</v>
      </c>
      <c r="O49" s="11"/>
      <c r="P49" s="11"/>
      <c r="Q49" s="11"/>
      <c r="R49" s="11"/>
      <c r="S49" s="11"/>
      <c r="T49" s="11"/>
      <c r="V49" s="11"/>
      <c r="X49" s="11">
        <f t="shared" si="2"/>
        <v>2.083333333333337E-2</v>
      </c>
      <c r="Y49" t="s">
        <v>130</v>
      </c>
    </row>
    <row r="50" spans="1:25" outlineLevel="1" x14ac:dyDescent="0.15">
      <c r="A50" s="3">
        <v>36381</v>
      </c>
      <c r="B50" s="3" t="str">
        <f>VLOOKUP(F50, Aircraft!A$2:C$99, 2, FALSE)</f>
        <v>PA28</v>
      </c>
      <c r="C50" t="str">
        <f>VLOOKUP(F50, Aircraft!A$2:C$99, 3, FALSE)</f>
        <v>S</v>
      </c>
      <c r="D50" t="str">
        <f t="shared" si="5"/>
        <v>S</v>
      </c>
      <c r="E50" t="str">
        <f t="shared" si="6"/>
        <v>PA28</v>
      </c>
      <c r="F50" t="s">
        <v>267</v>
      </c>
      <c r="G50" t="s">
        <v>191</v>
      </c>
      <c r="H50" s="2" t="str">
        <f t="shared" si="7"/>
        <v>P1</v>
      </c>
      <c r="I50" t="s">
        <v>250</v>
      </c>
      <c r="J50" t="s">
        <v>250</v>
      </c>
      <c r="K50" s="4">
        <v>0.6875</v>
      </c>
      <c r="L50" s="4">
        <v>0.70833333333333337</v>
      </c>
      <c r="M50" s="11">
        <f t="shared" si="8"/>
        <v>2.083333333333337E-2</v>
      </c>
      <c r="N50" s="11">
        <f t="shared" si="9"/>
        <v>0</v>
      </c>
      <c r="O50" s="11"/>
      <c r="P50" s="11"/>
      <c r="Q50" s="11"/>
      <c r="R50" s="11"/>
      <c r="S50" s="11"/>
      <c r="T50" s="11"/>
      <c r="V50" s="11"/>
      <c r="X50" s="11">
        <f t="shared" si="2"/>
        <v>2.083333333333337E-2</v>
      </c>
      <c r="Y50" t="s">
        <v>131</v>
      </c>
    </row>
    <row r="51" spans="1:25" outlineLevel="1" x14ac:dyDescent="0.15">
      <c r="A51" s="3">
        <v>36381</v>
      </c>
      <c r="B51" s="3" t="str">
        <f>VLOOKUP(F51, Aircraft!A$2:C$99, 2, FALSE)</f>
        <v>PA28</v>
      </c>
      <c r="C51" t="str">
        <f>VLOOKUP(F51, Aircraft!A$2:C$99, 3, FALSE)</f>
        <v>S</v>
      </c>
      <c r="D51" t="str">
        <f t="shared" si="5"/>
        <v>S</v>
      </c>
      <c r="E51" t="str">
        <f t="shared" si="6"/>
        <v>PA28</v>
      </c>
      <c r="F51" t="s">
        <v>267</v>
      </c>
      <c r="G51" t="s">
        <v>191</v>
      </c>
      <c r="H51" s="2" t="str">
        <f t="shared" si="7"/>
        <v>P1</v>
      </c>
      <c r="I51" t="s">
        <v>250</v>
      </c>
      <c r="J51" t="s">
        <v>250</v>
      </c>
      <c r="K51" s="4">
        <v>0.72222222222222221</v>
      </c>
      <c r="L51" s="4">
        <v>0.75</v>
      </c>
      <c r="M51" s="11">
        <f t="shared" si="8"/>
        <v>2.777777777777779E-2</v>
      </c>
      <c r="N51" s="11">
        <f t="shared" si="9"/>
        <v>0</v>
      </c>
      <c r="O51" s="11"/>
      <c r="P51" s="11"/>
      <c r="Q51" s="11"/>
      <c r="R51" s="11"/>
      <c r="S51" s="11"/>
      <c r="T51" s="11"/>
      <c r="V51" s="11"/>
      <c r="X51" s="11">
        <f t="shared" si="2"/>
        <v>2.777777777777779E-2</v>
      </c>
      <c r="Y51" t="s">
        <v>198</v>
      </c>
    </row>
    <row r="52" spans="1:25" outlineLevel="1" x14ac:dyDescent="0.15">
      <c r="A52" s="3">
        <v>36382</v>
      </c>
      <c r="B52" s="3" t="str">
        <f>VLOOKUP(F52, Aircraft!A$2:C$99, 2, FALSE)</f>
        <v>PA28</v>
      </c>
      <c r="C52" t="str">
        <f>VLOOKUP(F52, Aircraft!A$2:C$99, 3, FALSE)</f>
        <v>S</v>
      </c>
      <c r="D52" t="str">
        <f t="shared" si="5"/>
        <v>S</v>
      </c>
      <c r="E52" t="str">
        <f t="shared" si="6"/>
        <v>PA28</v>
      </c>
      <c r="F52" t="s">
        <v>132</v>
      </c>
      <c r="G52" t="s">
        <v>133</v>
      </c>
      <c r="H52" s="2" t="str">
        <f t="shared" si="7"/>
        <v>PUT</v>
      </c>
      <c r="I52" t="s">
        <v>250</v>
      </c>
      <c r="J52" t="s">
        <v>250</v>
      </c>
      <c r="K52" s="4">
        <v>0.68055555555555547</v>
      </c>
      <c r="L52" s="4">
        <v>0.71527777777777779</v>
      </c>
      <c r="M52" s="11">
        <f t="shared" si="8"/>
        <v>0</v>
      </c>
      <c r="N52" s="11">
        <f t="shared" si="9"/>
        <v>3.4722222222222321E-2</v>
      </c>
      <c r="O52" s="11"/>
      <c r="P52" s="11"/>
      <c r="Q52" s="11"/>
      <c r="R52" s="11"/>
      <c r="S52" s="11"/>
      <c r="T52" s="11"/>
      <c r="V52" s="11"/>
      <c r="X52" s="11">
        <f t="shared" si="2"/>
        <v>3.4722222222222321E-2</v>
      </c>
      <c r="Y52" t="s">
        <v>134</v>
      </c>
    </row>
    <row r="53" spans="1:25" outlineLevel="1" x14ac:dyDescent="0.15">
      <c r="A53" s="3">
        <v>36382</v>
      </c>
      <c r="B53" s="3" t="str">
        <f>VLOOKUP(F53, Aircraft!A$2:C$99, 2, FALSE)</f>
        <v>PA28</v>
      </c>
      <c r="C53" t="str">
        <f>VLOOKUP(F53, Aircraft!A$2:C$99, 3, FALSE)</f>
        <v>S</v>
      </c>
      <c r="D53" t="str">
        <f t="shared" si="5"/>
        <v>S</v>
      </c>
      <c r="E53" t="str">
        <f t="shared" si="6"/>
        <v>PA28</v>
      </c>
      <c r="F53" t="s">
        <v>132</v>
      </c>
      <c r="G53" t="s">
        <v>191</v>
      </c>
      <c r="H53" s="2" t="str">
        <f t="shared" si="7"/>
        <v>P1</v>
      </c>
      <c r="I53" t="s">
        <v>250</v>
      </c>
      <c r="J53" t="s">
        <v>250</v>
      </c>
      <c r="K53" s="4">
        <v>0.72222222222222221</v>
      </c>
      <c r="L53" s="4">
        <v>0.75</v>
      </c>
      <c r="M53" s="11">
        <f t="shared" si="8"/>
        <v>2.777777777777779E-2</v>
      </c>
      <c r="N53" s="11">
        <f t="shared" si="9"/>
        <v>0</v>
      </c>
      <c r="O53" s="11"/>
      <c r="P53" s="11"/>
      <c r="Q53" s="11"/>
      <c r="R53" s="11"/>
      <c r="S53" s="11"/>
      <c r="T53" s="11"/>
      <c r="V53" s="11"/>
      <c r="X53" s="11">
        <f t="shared" si="2"/>
        <v>2.777777777777779E-2</v>
      </c>
      <c r="Y53" t="s">
        <v>131</v>
      </c>
    </row>
    <row r="54" spans="1:25" outlineLevel="1" x14ac:dyDescent="0.15">
      <c r="A54" s="3">
        <v>36383</v>
      </c>
      <c r="B54" s="3" t="str">
        <f>VLOOKUP(F54, Aircraft!A$2:C$99, 2, FALSE)</f>
        <v>PA28</v>
      </c>
      <c r="C54" t="str">
        <f>VLOOKUP(F54, Aircraft!A$2:C$99, 3, FALSE)</f>
        <v>S</v>
      </c>
      <c r="D54" t="str">
        <f t="shared" si="5"/>
        <v>S</v>
      </c>
      <c r="E54" t="str">
        <f t="shared" si="6"/>
        <v>PA28</v>
      </c>
      <c r="F54" t="s">
        <v>187</v>
      </c>
      <c r="G54" t="s">
        <v>133</v>
      </c>
      <c r="H54" s="2" t="str">
        <f t="shared" si="7"/>
        <v>PUT</v>
      </c>
      <c r="I54" t="s">
        <v>250</v>
      </c>
      <c r="J54" t="s">
        <v>250</v>
      </c>
      <c r="K54" s="4">
        <v>0.54861111111111105</v>
      </c>
      <c r="L54" s="4">
        <v>0.59722222222222221</v>
      </c>
      <c r="M54" s="11">
        <f t="shared" si="8"/>
        <v>0</v>
      </c>
      <c r="N54" s="11">
        <f t="shared" si="9"/>
        <v>4.861111111111116E-2</v>
      </c>
      <c r="O54" s="11"/>
      <c r="P54" s="11"/>
      <c r="Q54" s="11"/>
      <c r="R54" s="11"/>
      <c r="S54" s="11"/>
      <c r="T54" s="11"/>
      <c r="V54" s="11"/>
      <c r="X54" s="11">
        <f t="shared" si="2"/>
        <v>4.861111111111116E-2</v>
      </c>
      <c r="Y54" t="s">
        <v>135</v>
      </c>
    </row>
    <row r="55" spans="1:25" outlineLevel="1" x14ac:dyDescent="0.15">
      <c r="A55" s="3">
        <v>36383</v>
      </c>
      <c r="B55" s="3" t="str">
        <f>VLOOKUP(F55, Aircraft!A$2:C$99, 2, FALSE)</f>
        <v>PA28</v>
      </c>
      <c r="C55" t="str">
        <f>VLOOKUP(F55, Aircraft!A$2:C$99, 3, FALSE)</f>
        <v>S</v>
      </c>
      <c r="D55" t="str">
        <f t="shared" si="5"/>
        <v>S</v>
      </c>
      <c r="E55" t="str">
        <f t="shared" si="6"/>
        <v>PA28</v>
      </c>
      <c r="F55" t="s">
        <v>267</v>
      </c>
      <c r="G55" t="s">
        <v>191</v>
      </c>
      <c r="H55" s="2" t="str">
        <f t="shared" si="7"/>
        <v>P1</v>
      </c>
      <c r="I55" t="s">
        <v>250</v>
      </c>
      <c r="J55" t="s">
        <v>250</v>
      </c>
      <c r="K55" s="4">
        <v>0.71527777777777779</v>
      </c>
      <c r="L55" s="4">
        <v>0.74305555555555547</v>
      </c>
      <c r="M55" s="11">
        <f t="shared" si="8"/>
        <v>2.7777777777777679E-2</v>
      </c>
      <c r="N55" s="11">
        <f t="shared" si="9"/>
        <v>0</v>
      </c>
      <c r="O55" s="11"/>
      <c r="P55" s="11"/>
      <c r="Q55" s="11"/>
      <c r="R55" s="11"/>
      <c r="S55" s="11"/>
      <c r="T55" s="11"/>
      <c r="V55" s="11"/>
      <c r="X55" s="11">
        <f t="shared" si="2"/>
        <v>2.7777777777777679E-2</v>
      </c>
      <c r="Y55" t="s">
        <v>194</v>
      </c>
    </row>
    <row r="56" spans="1:25" outlineLevel="1" x14ac:dyDescent="0.15">
      <c r="A56" s="3">
        <v>36384</v>
      </c>
      <c r="B56" s="3" t="str">
        <f>VLOOKUP(F56, Aircraft!A$2:C$99, 2, FALSE)</f>
        <v>PA28</v>
      </c>
      <c r="C56" t="str">
        <f>VLOOKUP(F56, Aircraft!A$2:C$99, 3, FALSE)</f>
        <v>S</v>
      </c>
      <c r="D56" t="str">
        <f t="shared" si="5"/>
        <v>S</v>
      </c>
      <c r="E56" t="str">
        <f t="shared" si="6"/>
        <v>PA28</v>
      </c>
      <c r="F56" t="s">
        <v>267</v>
      </c>
      <c r="G56" t="s">
        <v>191</v>
      </c>
      <c r="H56" s="2" t="str">
        <f t="shared" si="7"/>
        <v>P1</v>
      </c>
      <c r="I56" t="s">
        <v>250</v>
      </c>
      <c r="J56" t="s">
        <v>250</v>
      </c>
      <c r="K56" s="4">
        <v>0.50347222222222221</v>
      </c>
      <c r="L56" s="4">
        <v>0.54166666666666663</v>
      </c>
      <c r="M56" s="11">
        <f t="shared" si="8"/>
        <v>3.819444444444442E-2</v>
      </c>
      <c r="N56" s="11">
        <f t="shared" si="9"/>
        <v>0</v>
      </c>
      <c r="O56" s="11"/>
      <c r="P56" s="11"/>
      <c r="Q56" s="11"/>
      <c r="R56" s="11"/>
      <c r="S56" s="11"/>
      <c r="T56" s="11"/>
      <c r="V56" s="11"/>
      <c r="X56" s="11">
        <f t="shared" si="2"/>
        <v>3.819444444444442E-2</v>
      </c>
      <c r="Y56" t="s">
        <v>194</v>
      </c>
    </row>
    <row r="57" spans="1:25" outlineLevel="1" x14ac:dyDescent="0.15">
      <c r="A57" s="3">
        <v>36384</v>
      </c>
      <c r="B57" s="3" t="str">
        <f>VLOOKUP(F57, Aircraft!A$2:C$99, 2, FALSE)</f>
        <v>PA28</v>
      </c>
      <c r="C57" t="str">
        <f>VLOOKUP(F57, Aircraft!A$2:C$99, 3, FALSE)</f>
        <v>S</v>
      </c>
      <c r="D57" t="str">
        <f t="shared" si="5"/>
        <v>S</v>
      </c>
      <c r="E57" t="str">
        <f t="shared" si="6"/>
        <v>PA28</v>
      </c>
      <c r="F57" t="s">
        <v>267</v>
      </c>
      <c r="G57" t="s">
        <v>133</v>
      </c>
      <c r="H57" s="2" t="str">
        <f t="shared" si="7"/>
        <v>PUT</v>
      </c>
      <c r="I57" t="s">
        <v>250</v>
      </c>
      <c r="J57" t="s">
        <v>250</v>
      </c>
      <c r="K57" s="4">
        <v>0.64236111111111105</v>
      </c>
      <c r="L57" s="4">
        <v>0.68402777777777779</v>
      </c>
      <c r="M57" s="11">
        <f t="shared" si="8"/>
        <v>0</v>
      </c>
      <c r="N57" s="11">
        <f t="shared" si="9"/>
        <v>4.1666666666666741E-2</v>
      </c>
      <c r="O57" s="11"/>
      <c r="P57" s="11"/>
      <c r="Q57" s="11"/>
      <c r="R57" s="11"/>
      <c r="S57" s="11"/>
      <c r="T57" s="11"/>
      <c r="V57" s="11"/>
      <c r="X57" s="11">
        <f t="shared" si="2"/>
        <v>4.1666666666666741E-2</v>
      </c>
      <c r="Y57" t="s">
        <v>165</v>
      </c>
    </row>
    <row r="58" spans="1:25" outlineLevel="1" x14ac:dyDescent="0.15">
      <c r="A58" s="3">
        <v>36385</v>
      </c>
      <c r="B58" s="3" t="str">
        <f>VLOOKUP(F58, Aircraft!A$2:C$99, 2, FALSE)</f>
        <v>PA28</v>
      </c>
      <c r="C58" t="str">
        <f>VLOOKUP(F58, Aircraft!A$2:C$99, 3, FALSE)</f>
        <v>S</v>
      </c>
      <c r="D58" t="str">
        <f t="shared" si="5"/>
        <v>S</v>
      </c>
      <c r="E58" t="str">
        <f t="shared" si="6"/>
        <v>PA28</v>
      </c>
      <c r="F58" t="s">
        <v>267</v>
      </c>
      <c r="G58" t="s">
        <v>199</v>
      </c>
      <c r="H58" s="2" t="str">
        <f t="shared" si="7"/>
        <v>PUT</v>
      </c>
      <c r="I58" t="s">
        <v>250</v>
      </c>
      <c r="J58" t="s">
        <v>250</v>
      </c>
      <c r="K58" s="4">
        <v>0.44444444444444442</v>
      </c>
      <c r="L58" s="4">
        <v>0.49305555555555558</v>
      </c>
      <c r="M58" s="11">
        <f t="shared" si="8"/>
        <v>0</v>
      </c>
      <c r="N58" s="11">
        <f t="shared" si="9"/>
        <v>4.861111111111116E-2</v>
      </c>
      <c r="O58" s="11"/>
      <c r="P58" s="11"/>
      <c r="Q58" s="11"/>
      <c r="R58" s="11"/>
      <c r="S58" s="11"/>
      <c r="T58" s="11"/>
      <c r="V58" s="11"/>
      <c r="X58" s="11">
        <f t="shared" si="2"/>
        <v>4.861111111111116E-2</v>
      </c>
      <c r="Y58" t="s">
        <v>138</v>
      </c>
    </row>
    <row r="59" spans="1:25" outlineLevel="1" x14ac:dyDescent="0.15">
      <c r="A59" s="3">
        <v>36385</v>
      </c>
      <c r="B59" s="3" t="str">
        <f>VLOOKUP(F59, Aircraft!A$2:C$99, 2, FALSE)</f>
        <v>PA28</v>
      </c>
      <c r="C59" t="str">
        <f>VLOOKUP(F59, Aircraft!A$2:C$99, 3, FALSE)</f>
        <v>S</v>
      </c>
      <c r="D59" t="str">
        <f t="shared" si="5"/>
        <v>S</v>
      </c>
      <c r="E59" t="str">
        <f t="shared" si="6"/>
        <v>PA28</v>
      </c>
      <c r="F59" t="s">
        <v>267</v>
      </c>
      <c r="G59" t="s">
        <v>133</v>
      </c>
      <c r="H59" s="2" t="str">
        <f t="shared" si="7"/>
        <v>PUT</v>
      </c>
      <c r="I59" t="s">
        <v>250</v>
      </c>
      <c r="J59" t="s">
        <v>250</v>
      </c>
      <c r="K59" s="4">
        <v>0.4548611111111111</v>
      </c>
      <c r="L59" s="4">
        <v>0.49305555555555558</v>
      </c>
      <c r="M59" s="11">
        <f t="shared" si="8"/>
        <v>0</v>
      </c>
      <c r="N59" s="11">
        <f t="shared" si="9"/>
        <v>3.8194444444444475E-2</v>
      </c>
      <c r="O59" s="11"/>
      <c r="P59" s="11"/>
      <c r="Q59" s="11"/>
      <c r="R59" s="11"/>
      <c r="S59" s="11"/>
      <c r="T59" s="11"/>
      <c r="V59" s="11"/>
      <c r="X59" s="11">
        <f t="shared" si="2"/>
        <v>3.8194444444444475E-2</v>
      </c>
      <c r="Y59" t="s">
        <v>166</v>
      </c>
    </row>
    <row r="60" spans="1:25" outlineLevel="1" x14ac:dyDescent="0.15">
      <c r="A60" s="3">
        <v>36385</v>
      </c>
      <c r="B60" s="3" t="str">
        <f>VLOOKUP(F60, Aircraft!A$2:C$99, 2, FALSE)</f>
        <v>PA28</v>
      </c>
      <c r="C60" t="str">
        <f>VLOOKUP(F60, Aircraft!A$2:C$99, 3, FALSE)</f>
        <v>S</v>
      </c>
      <c r="D60" t="str">
        <f t="shared" si="5"/>
        <v>S</v>
      </c>
      <c r="E60" t="str">
        <f t="shared" si="6"/>
        <v>PA28</v>
      </c>
      <c r="F60" t="s">
        <v>267</v>
      </c>
      <c r="G60" t="s">
        <v>133</v>
      </c>
      <c r="H60" s="2" t="str">
        <f t="shared" si="7"/>
        <v>PUT</v>
      </c>
      <c r="I60" t="s">
        <v>250</v>
      </c>
      <c r="J60" t="s">
        <v>250</v>
      </c>
      <c r="K60" s="4">
        <v>0.60763888888888895</v>
      </c>
      <c r="L60" s="4">
        <v>0.65625</v>
      </c>
      <c r="M60" s="11">
        <f t="shared" si="8"/>
        <v>0</v>
      </c>
      <c r="N60" s="11">
        <f t="shared" si="9"/>
        <v>4.8611111111111049E-2</v>
      </c>
      <c r="O60" s="11"/>
      <c r="P60" s="11"/>
      <c r="Q60" s="11"/>
      <c r="R60" s="11"/>
      <c r="S60" s="11"/>
      <c r="T60" s="11"/>
      <c r="V60" s="11"/>
      <c r="X60" s="11">
        <f t="shared" si="2"/>
        <v>4.8611111111111049E-2</v>
      </c>
      <c r="Y60" t="s">
        <v>166</v>
      </c>
    </row>
    <row r="61" spans="1:25" outlineLevel="1" x14ac:dyDescent="0.15">
      <c r="A61" s="3">
        <v>36400</v>
      </c>
      <c r="B61" s="3" t="str">
        <f>VLOOKUP(F61, Aircraft!A$2:C$99, 2, FALSE)</f>
        <v>PA28</v>
      </c>
      <c r="C61" t="str">
        <f>VLOOKUP(F61, Aircraft!A$2:C$99, 3, FALSE)</f>
        <v>S</v>
      </c>
      <c r="D61" t="str">
        <f t="shared" si="5"/>
        <v>S</v>
      </c>
      <c r="E61" t="str">
        <f t="shared" si="6"/>
        <v>PA28</v>
      </c>
      <c r="F61" t="s">
        <v>266</v>
      </c>
      <c r="G61" t="s">
        <v>133</v>
      </c>
      <c r="H61" s="2" t="str">
        <f t="shared" si="7"/>
        <v>PUT</v>
      </c>
      <c r="I61" t="s">
        <v>250</v>
      </c>
      <c r="J61" t="s">
        <v>155</v>
      </c>
      <c r="K61" s="4">
        <v>0.52083333333333337</v>
      </c>
      <c r="L61" s="4">
        <v>0.5625</v>
      </c>
      <c r="M61" s="11">
        <f t="shared" si="8"/>
        <v>0</v>
      </c>
      <c r="N61" s="11">
        <f t="shared" si="9"/>
        <v>4.166666666666663E-2</v>
      </c>
      <c r="O61" s="11"/>
      <c r="P61" s="11"/>
      <c r="Q61" s="11"/>
      <c r="R61" s="11"/>
      <c r="S61" s="11"/>
      <c r="T61" s="11"/>
      <c r="V61" s="11"/>
      <c r="X61" s="11">
        <f t="shared" si="2"/>
        <v>4.166666666666663E-2</v>
      </c>
      <c r="Y61" t="s">
        <v>312</v>
      </c>
    </row>
    <row r="62" spans="1:25" outlineLevel="1" x14ac:dyDescent="0.15">
      <c r="A62" s="3">
        <v>36400</v>
      </c>
      <c r="B62" s="3" t="str">
        <f>VLOOKUP(F62, Aircraft!A$2:C$99, 2, FALSE)</f>
        <v>PA28</v>
      </c>
      <c r="C62" t="str">
        <f>VLOOKUP(F62, Aircraft!A$2:C$99, 3, FALSE)</f>
        <v>S</v>
      </c>
      <c r="D62" t="str">
        <f t="shared" si="5"/>
        <v>S</v>
      </c>
      <c r="E62" t="str">
        <f t="shared" si="6"/>
        <v>PA28</v>
      </c>
      <c r="F62" t="s">
        <v>266</v>
      </c>
      <c r="G62" t="s">
        <v>133</v>
      </c>
      <c r="H62" s="2" t="str">
        <f t="shared" si="7"/>
        <v>PUT</v>
      </c>
      <c r="I62" t="s">
        <v>155</v>
      </c>
      <c r="J62" t="s">
        <v>250</v>
      </c>
      <c r="K62" s="4">
        <v>0.62152777777777779</v>
      </c>
      <c r="L62" s="4">
        <v>0.66319444444444442</v>
      </c>
      <c r="M62" s="11">
        <f t="shared" si="8"/>
        <v>0</v>
      </c>
      <c r="N62" s="11">
        <f t="shared" si="9"/>
        <v>4.166666666666663E-2</v>
      </c>
      <c r="O62" s="11"/>
      <c r="P62" s="11"/>
      <c r="Q62" s="11"/>
      <c r="R62" s="11"/>
      <c r="S62" s="11"/>
      <c r="T62" s="11"/>
      <c r="V62" s="11"/>
      <c r="X62" s="11">
        <f t="shared" si="2"/>
        <v>4.166666666666663E-2</v>
      </c>
      <c r="Y62" t="s">
        <v>313</v>
      </c>
    </row>
    <row r="63" spans="1:25" outlineLevel="1" x14ac:dyDescent="0.15">
      <c r="A63" s="3">
        <v>36401</v>
      </c>
      <c r="B63" s="3" t="str">
        <f>VLOOKUP(F63, Aircraft!A$2:C$99, 2, FALSE)</f>
        <v>PA28</v>
      </c>
      <c r="C63" t="str">
        <f>VLOOKUP(F63, Aircraft!A$2:C$99, 3, FALSE)</f>
        <v>S</v>
      </c>
      <c r="D63" t="str">
        <f t="shared" si="5"/>
        <v>S</v>
      </c>
      <c r="E63" t="str">
        <f t="shared" si="6"/>
        <v>PA28</v>
      </c>
      <c r="F63" t="s">
        <v>187</v>
      </c>
      <c r="G63" t="s">
        <v>199</v>
      </c>
      <c r="H63" s="2" t="str">
        <f t="shared" si="7"/>
        <v>PUT</v>
      </c>
      <c r="I63" t="s">
        <v>250</v>
      </c>
      <c r="J63" t="s">
        <v>549</v>
      </c>
      <c r="K63" s="4">
        <v>0.5</v>
      </c>
      <c r="L63" s="4">
        <v>0.53125</v>
      </c>
      <c r="M63" s="11">
        <f t="shared" si="8"/>
        <v>0</v>
      </c>
      <c r="N63" s="11">
        <f t="shared" si="9"/>
        <v>3.125E-2</v>
      </c>
      <c r="O63" s="11"/>
      <c r="P63" s="11"/>
      <c r="Q63" s="11"/>
      <c r="R63" s="11"/>
      <c r="S63" s="11"/>
      <c r="T63" s="11"/>
      <c r="V63" s="11"/>
      <c r="X63" s="11">
        <f t="shared" si="2"/>
        <v>3.125E-2</v>
      </c>
      <c r="Y63" t="s">
        <v>314</v>
      </c>
    </row>
    <row r="64" spans="1:25" outlineLevel="1" x14ac:dyDescent="0.15">
      <c r="A64" s="3">
        <v>36401</v>
      </c>
      <c r="B64" s="3" t="str">
        <f>VLOOKUP(F64, Aircraft!A$2:C$99, 2, FALSE)</f>
        <v>PA28</v>
      </c>
      <c r="C64" t="str">
        <f>VLOOKUP(F64, Aircraft!A$2:C$99, 3, FALSE)</f>
        <v>S</v>
      </c>
      <c r="D64" t="str">
        <f t="shared" si="5"/>
        <v>S</v>
      </c>
      <c r="E64" t="str">
        <f t="shared" si="6"/>
        <v>PA28</v>
      </c>
      <c r="F64" t="s">
        <v>187</v>
      </c>
      <c r="G64" t="s">
        <v>199</v>
      </c>
      <c r="H64" s="2" t="str">
        <f t="shared" si="7"/>
        <v>PUT</v>
      </c>
      <c r="I64" t="s">
        <v>549</v>
      </c>
      <c r="J64" t="s">
        <v>250</v>
      </c>
      <c r="K64" s="4">
        <v>0.56944444444444442</v>
      </c>
      <c r="L64" s="4">
        <v>0.59027777777777779</v>
      </c>
      <c r="M64" s="11">
        <f t="shared" si="8"/>
        <v>0</v>
      </c>
      <c r="N64" s="11">
        <f t="shared" si="9"/>
        <v>2.083333333333337E-2</v>
      </c>
      <c r="O64" s="11"/>
      <c r="P64" s="11"/>
      <c r="Q64" s="11"/>
      <c r="R64" s="11"/>
      <c r="S64" s="11"/>
      <c r="T64" s="11"/>
      <c r="V64" s="11"/>
      <c r="X64" s="11">
        <f t="shared" si="2"/>
        <v>2.083333333333337E-2</v>
      </c>
      <c r="Y64" t="s">
        <v>315</v>
      </c>
    </row>
    <row r="65" spans="1:25" outlineLevel="1" x14ac:dyDescent="0.15">
      <c r="A65" s="3">
        <v>36424</v>
      </c>
      <c r="B65" s="3" t="str">
        <f>VLOOKUP(F65, Aircraft!A$2:C$99, 2, FALSE)</f>
        <v>PA28</v>
      </c>
      <c r="C65" t="str">
        <f>VLOOKUP(F65, Aircraft!A$2:C$99, 3, FALSE)</f>
        <v>S</v>
      </c>
      <c r="D65" t="str">
        <f t="shared" si="5"/>
        <v>S</v>
      </c>
      <c r="E65" t="str">
        <f t="shared" si="6"/>
        <v>PA28</v>
      </c>
      <c r="F65" t="s">
        <v>266</v>
      </c>
      <c r="G65" t="s">
        <v>133</v>
      </c>
      <c r="H65" s="2" t="str">
        <f t="shared" si="7"/>
        <v>PUT</v>
      </c>
      <c r="I65" t="s">
        <v>250</v>
      </c>
      <c r="J65" t="s">
        <v>250</v>
      </c>
      <c r="K65" s="4">
        <v>0.44444444444444442</v>
      </c>
      <c r="L65" s="4">
        <v>0.48958333333333331</v>
      </c>
      <c r="M65" s="11">
        <f t="shared" si="8"/>
        <v>0</v>
      </c>
      <c r="N65" s="11">
        <f t="shared" si="9"/>
        <v>4.5138888888888895E-2</v>
      </c>
      <c r="O65" s="11"/>
      <c r="P65" s="11"/>
      <c r="Q65" s="11"/>
      <c r="R65" s="11"/>
      <c r="S65" s="11"/>
      <c r="T65" s="11"/>
      <c r="V65" s="11"/>
      <c r="X65" s="11">
        <f t="shared" si="2"/>
        <v>4.5138888888888895E-2</v>
      </c>
      <c r="Y65" t="s">
        <v>167</v>
      </c>
    </row>
    <row r="66" spans="1:25" outlineLevel="1" x14ac:dyDescent="0.15">
      <c r="A66" s="3">
        <v>36424</v>
      </c>
      <c r="B66" s="3" t="str">
        <f>VLOOKUP(F66, Aircraft!A$2:C$99, 2, FALSE)</f>
        <v>PA28</v>
      </c>
      <c r="C66" t="str">
        <f>VLOOKUP(F66, Aircraft!A$2:C$99, 3, FALSE)</f>
        <v>S</v>
      </c>
      <c r="D66" t="str">
        <f t="shared" si="5"/>
        <v>S</v>
      </c>
      <c r="E66" t="str">
        <f t="shared" si="6"/>
        <v>PA28</v>
      </c>
      <c r="F66" t="s">
        <v>267</v>
      </c>
      <c r="G66" t="s">
        <v>191</v>
      </c>
      <c r="H66" s="2" t="str">
        <f t="shared" si="7"/>
        <v>P1</v>
      </c>
      <c r="I66" t="s">
        <v>250</v>
      </c>
      <c r="J66" t="s">
        <v>549</v>
      </c>
      <c r="K66" s="4">
        <v>0.52430555555555558</v>
      </c>
      <c r="L66" s="4">
        <v>0.54513888888888895</v>
      </c>
      <c r="M66" s="11">
        <f t="shared" si="8"/>
        <v>2.083333333333337E-2</v>
      </c>
      <c r="N66" s="11">
        <f t="shared" si="9"/>
        <v>0</v>
      </c>
      <c r="O66" s="11"/>
      <c r="P66" s="11"/>
      <c r="Q66" s="11"/>
      <c r="R66" s="11"/>
      <c r="S66" s="11"/>
      <c r="T66" s="11"/>
      <c r="V66" s="11"/>
      <c r="X66" s="11">
        <f t="shared" si="2"/>
        <v>2.083333333333337E-2</v>
      </c>
      <c r="Y66" t="s">
        <v>168</v>
      </c>
    </row>
    <row r="67" spans="1:25" outlineLevel="1" x14ac:dyDescent="0.15">
      <c r="A67" s="3">
        <v>36424</v>
      </c>
      <c r="B67" s="3" t="str">
        <f>VLOOKUP(F67, Aircraft!A$2:C$99, 2, FALSE)</f>
        <v>PA28</v>
      </c>
      <c r="C67" t="str">
        <f>VLOOKUP(F67, Aircraft!A$2:C$99, 3, FALSE)</f>
        <v>S</v>
      </c>
      <c r="D67" t="str">
        <f t="shared" si="5"/>
        <v>S</v>
      </c>
      <c r="E67" t="str">
        <f t="shared" si="6"/>
        <v>PA28</v>
      </c>
      <c r="F67" t="s">
        <v>267</v>
      </c>
      <c r="G67" t="s">
        <v>191</v>
      </c>
      <c r="H67" s="2" t="str">
        <f t="shared" si="7"/>
        <v>P1</v>
      </c>
      <c r="I67" t="s">
        <v>549</v>
      </c>
      <c r="J67" t="s">
        <v>250</v>
      </c>
      <c r="K67" s="4">
        <v>0.58680555555555558</v>
      </c>
      <c r="L67" s="4">
        <v>0.61250000000000004</v>
      </c>
      <c r="M67" s="11">
        <f t="shared" si="8"/>
        <v>2.5694444444444464E-2</v>
      </c>
      <c r="N67" s="11">
        <f t="shared" si="9"/>
        <v>0</v>
      </c>
      <c r="O67" s="11"/>
      <c r="P67" s="11"/>
      <c r="Q67" s="11"/>
      <c r="R67" s="11"/>
      <c r="S67" s="11"/>
      <c r="T67" s="11"/>
      <c r="V67" s="11"/>
      <c r="X67" s="11">
        <f t="shared" si="2"/>
        <v>2.5694444444444464E-2</v>
      </c>
    </row>
    <row r="68" spans="1:25" outlineLevel="1" x14ac:dyDescent="0.15">
      <c r="A68" s="3">
        <v>36435</v>
      </c>
      <c r="B68" s="3" t="str">
        <f>VLOOKUP(F68, Aircraft!A$2:C$99, 2, FALSE)</f>
        <v>PA28</v>
      </c>
      <c r="C68" t="str">
        <f>VLOOKUP(F68, Aircraft!A$2:C$99, 3, FALSE)</f>
        <v>S</v>
      </c>
      <c r="D68" t="str">
        <f t="shared" si="5"/>
        <v>S</v>
      </c>
      <c r="E68" t="str">
        <f t="shared" si="6"/>
        <v>PA28</v>
      </c>
      <c r="F68" t="s">
        <v>187</v>
      </c>
      <c r="G68" t="s">
        <v>191</v>
      </c>
      <c r="H68" s="2" t="str">
        <f t="shared" si="7"/>
        <v>P1</v>
      </c>
      <c r="I68" t="s">
        <v>250</v>
      </c>
      <c r="J68" t="s">
        <v>155</v>
      </c>
      <c r="K68" s="4">
        <v>0.60416666666666663</v>
      </c>
      <c r="L68" s="4">
        <v>0.64236111111111105</v>
      </c>
      <c r="M68" s="11">
        <f t="shared" si="8"/>
        <v>3.819444444444442E-2</v>
      </c>
      <c r="N68" s="11">
        <f t="shared" si="9"/>
        <v>0</v>
      </c>
      <c r="O68" s="11"/>
      <c r="P68" s="11"/>
      <c r="Q68" s="11"/>
      <c r="R68" s="11"/>
      <c r="S68" s="11"/>
      <c r="T68" s="11"/>
      <c r="V68" s="11"/>
      <c r="X68" s="11">
        <f t="shared" si="2"/>
        <v>3.819444444444442E-2</v>
      </c>
    </row>
    <row r="69" spans="1:25" outlineLevel="1" x14ac:dyDescent="0.15">
      <c r="A69" s="3">
        <v>36435</v>
      </c>
      <c r="B69" s="3" t="str">
        <f>VLOOKUP(F69, Aircraft!A$2:C$99, 2, FALSE)</f>
        <v>PA28</v>
      </c>
      <c r="C69" t="str">
        <f>VLOOKUP(F69, Aircraft!A$2:C$99, 3, FALSE)</f>
        <v>S</v>
      </c>
      <c r="D69" t="str">
        <f t="shared" si="5"/>
        <v>S</v>
      </c>
      <c r="E69" t="str">
        <f t="shared" si="6"/>
        <v>PA28</v>
      </c>
      <c r="F69" t="s">
        <v>187</v>
      </c>
      <c r="G69" t="s">
        <v>191</v>
      </c>
      <c r="H69" s="2" t="str">
        <f t="shared" si="7"/>
        <v>P1</v>
      </c>
      <c r="I69" t="s">
        <v>155</v>
      </c>
      <c r="J69" t="s">
        <v>250</v>
      </c>
      <c r="K69" s="4">
        <v>0.66319444444444442</v>
      </c>
      <c r="L69" s="4">
        <v>0.69791666666666663</v>
      </c>
      <c r="M69" s="11">
        <f t="shared" si="8"/>
        <v>3.472222222222221E-2</v>
      </c>
      <c r="N69" s="11">
        <f t="shared" si="9"/>
        <v>0</v>
      </c>
      <c r="O69" s="11"/>
      <c r="P69" s="11"/>
      <c r="Q69" s="11"/>
      <c r="R69" s="11"/>
      <c r="S69" s="11"/>
      <c r="T69" s="11"/>
      <c r="V69" s="11"/>
      <c r="X69" s="11">
        <f t="shared" si="2"/>
        <v>3.472222222222221E-2</v>
      </c>
    </row>
    <row r="70" spans="1:25" x14ac:dyDescent="0.15">
      <c r="O70" s="11"/>
      <c r="P70" s="11"/>
      <c r="Q70" s="11"/>
      <c r="R70" s="11"/>
      <c r="S70" s="11"/>
      <c r="T70" s="11"/>
      <c r="V70" s="11"/>
      <c r="X70" s="11"/>
    </row>
    <row r="71" spans="1:25" outlineLevel="1" x14ac:dyDescent="0.15">
      <c r="A71" s="3">
        <v>36533</v>
      </c>
      <c r="B71" s="3" t="str">
        <f>VLOOKUP(F71, Aircraft!A$2:C$99, 2, FALSE)</f>
        <v>PA28</v>
      </c>
      <c r="C71" t="str">
        <f>VLOOKUP(F71, Aircraft!A$2:C$99, 3, FALSE)</f>
        <v>S</v>
      </c>
      <c r="D71" t="str">
        <f t="shared" si="5"/>
        <v>S</v>
      </c>
      <c r="E71" t="str">
        <f t="shared" si="6"/>
        <v>PA28</v>
      </c>
      <c r="F71" t="s">
        <v>267</v>
      </c>
      <c r="G71" t="s">
        <v>133</v>
      </c>
      <c r="H71" s="2" t="str">
        <f t="shared" si="7"/>
        <v>PUT</v>
      </c>
      <c r="I71" t="s">
        <v>250</v>
      </c>
      <c r="J71" t="s">
        <v>250</v>
      </c>
      <c r="K71" s="4">
        <v>0.64236111111111105</v>
      </c>
      <c r="L71" s="4">
        <v>0.6875</v>
      </c>
      <c r="M71" s="11">
        <f t="shared" si="8"/>
        <v>0</v>
      </c>
      <c r="N71" s="11">
        <f t="shared" si="9"/>
        <v>4.5138888888888951E-2</v>
      </c>
      <c r="O71" s="11"/>
      <c r="P71" s="11"/>
      <c r="Q71" s="11"/>
      <c r="R71" s="11"/>
      <c r="S71" s="11"/>
      <c r="T71" s="11"/>
      <c r="V71" s="11"/>
      <c r="X71" s="11">
        <f t="shared" si="2"/>
        <v>4.5138888888888951E-2</v>
      </c>
      <c r="Y71" t="s">
        <v>171</v>
      </c>
    </row>
    <row r="72" spans="1:25" outlineLevel="1" x14ac:dyDescent="0.15">
      <c r="A72" s="3">
        <v>36548</v>
      </c>
      <c r="B72" s="3" t="str">
        <f>VLOOKUP(F72, Aircraft!A$2:C$99, 2, FALSE)</f>
        <v>PA28</v>
      </c>
      <c r="C72" t="str">
        <f>VLOOKUP(F72, Aircraft!A$2:C$99, 3, FALSE)</f>
        <v>S</v>
      </c>
      <c r="D72" t="str">
        <f t="shared" si="5"/>
        <v>S</v>
      </c>
      <c r="E72" t="str">
        <f t="shared" si="6"/>
        <v>PA28</v>
      </c>
      <c r="F72" t="s">
        <v>132</v>
      </c>
      <c r="G72" t="s">
        <v>169</v>
      </c>
      <c r="H72" s="2" t="str">
        <f t="shared" si="7"/>
        <v>PUT</v>
      </c>
      <c r="I72" t="s">
        <v>250</v>
      </c>
      <c r="J72" t="s">
        <v>250</v>
      </c>
      <c r="K72" s="4">
        <v>0.57152777777777775</v>
      </c>
      <c r="L72" s="4">
        <v>0.61319444444444449</v>
      </c>
      <c r="M72" s="11">
        <f t="shared" si="8"/>
        <v>0</v>
      </c>
      <c r="N72" s="11">
        <f t="shared" si="9"/>
        <v>4.1666666666666741E-2</v>
      </c>
      <c r="O72" s="11"/>
      <c r="P72" s="11"/>
      <c r="Q72" s="11"/>
      <c r="R72" s="11"/>
      <c r="S72" s="11"/>
      <c r="T72" s="11"/>
      <c r="V72" s="11"/>
      <c r="X72" s="11">
        <f t="shared" si="2"/>
        <v>4.1666666666666741E-2</v>
      </c>
      <c r="Y72" t="s">
        <v>172</v>
      </c>
    </row>
    <row r="73" spans="1:25" outlineLevel="1" x14ac:dyDescent="0.15">
      <c r="A73" s="3">
        <v>36558</v>
      </c>
      <c r="B73" s="3" t="str">
        <f>VLOOKUP(F73, Aircraft!A$2:C$99, 2, FALSE)</f>
        <v>PA28</v>
      </c>
      <c r="C73" t="str">
        <f>VLOOKUP(F73, Aircraft!A$2:C$99, 3, FALSE)</f>
        <v>S</v>
      </c>
      <c r="D73" t="str">
        <f t="shared" si="5"/>
        <v>S</v>
      </c>
      <c r="E73" t="str">
        <f t="shared" si="6"/>
        <v>PA28</v>
      </c>
      <c r="F73" t="s">
        <v>132</v>
      </c>
      <c r="G73" t="s">
        <v>133</v>
      </c>
      <c r="H73" s="2" t="str">
        <f t="shared" si="7"/>
        <v>PUT</v>
      </c>
      <c r="I73" t="s">
        <v>250</v>
      </c>
      <c r="J73" t="s">
        <v>76</v>
      </c>
      <c r="K73" s="4">
        <v>0.4375</v>
      </c>
      <c r="L73" s="4">
        <v>0.46875</v>
      </c>
      <c r="M73" s="11">
        <f t="shared" si="8"/>
        <v>0</v>
      </c>
      <c r="N73" s="11">
        <f t="shared" si="9"/>
        <v>3.125E-2</v>
      </c>
      <c r="O73" s="11"/>
      <c r="P73" s="11"/>
      <c r="Q73" s="11"/>
      <c r="R73" s="11"/>
      <c r="S73" s="11"/>
      <c r="T73" s="11"/>
      <c r="V73" s="11"/>
      <c r="X73" s="11">
        <f t="shared" si="2"/>
        <v>3.125E-2</v>
      </c>
      <c r="Y73" t="s">
        <v>170</v>
      </c>
    </row>
    <row r="74" spans="1:25" outlineLevel="1" x14ac:dyDescent="0.15">
      <c r="A74" s="3">
        <v>36558</v>
      </c>
      <c r="B74" s="3" t="str">
        <f>VLOOKUP(F74, Aircraft!A$2:C$99, 2, FALSE)</f>
        <v>PA28</v>
      </c>
      <c r="C74" t="str">
        <f>VLOOKUP(F74, Aircraft!A$2:C$99, 3, FALSE)</f>
        <v>S</v>
      </c>
      <c r="D74" t="str">
        <f t="shared" si="5"/>
        <v>S</v>
      </c>
      <c r="E74" t="str">
        <f t="shared" si="6"/>
        <v>PA28</v>
      </c>
      <c r="F74" t="s">
        <v>132</v>
      </c>
      <c r="G74" t="s">
        <v>133</v>
      </c>
      <c r="H74" s="2" t="str">
        <f t="shared" si="7"/>
        <v>PUT</v>
      </c>
      <c r="I74" t="s">
        <v>148</v>
      </c>
      <c r="J74" t="s">
        <v>4</v>
      </c>
      <c r="K74" s="4">
        <v>0.47569444444444442</v>
      </c>
      <c r="L74" s="4">
        <v>0.50694444444444442</v>
      </c>
      <c r="M74" s="11">
        <f t="shared" si="8"/>
        <v>0</v>
      </c>
      <c r="N74" s="11">
        <f t="shared" si="9"/>
        <v>3.125E-2</v>
      </c>
      <c r="O74" s="11"/>
      <c r="P74" s="11"/>
      <c r="Q74" s="11"/>
      <c r="R74" s="11"/>
      <c r="S74" s="11"/>
      <c r="T74" s="11"/>
      <c r="V74" s="11"/>
      <c r="X74" s="11">
        <f t="shared" ref="X74:X137" si="10">SUM(M74:S74)</f>
        <v>3.125E-2</v>
      </c>
    </row>
    <row r="75" spans="1:25" outlineLevel="1" x14ac:dyDescent="0.15">
      <c r="A75" s="3">
        <v>36558</v>
      </c>
      <c r="B75" s="3" t="str">
        <f>VLOOKUP(F75, Aircraft!A$2:C$99, 2, FALSE)</f>
        <v>PA28</v>
      </c>
      <c r="C75" t="str">
        <f>VLOOKUP(F75, Aircraft!A$2:C$99, 3, FALSE)</f>
        <v>S</v>
      </c>
      <c r="D75" t="str">
        <f t="shared" si="5"/>
        <v>S</v>
      </c>
      <c r="E75" t="str">
        <f t="shared" si="6"/>
        <v>PA28</v>
      </c>
      <c r="F75" t="s">
        <v>132</v>
      </c>
      <c r="G75" t="s">
        <v>133</v>
      </c>
      <c r="H75" s="2" t="str">
        <f t="shared" si="7"/>
        <v>PUT</v>
      </c>
      <c r="I75" t="s">
        <v>4</v>
      </c>
      <c r="J75" t="s">
        <v>250</v>
      </c>
      <c r="K75" s="4">
        <v>0.52777777777777779</v>
      </c>
      <c r="L75" s="4">
        <v>0.55902777777777779</v>
      </c>
      <c r="M75" s="11">
        <f t="shared" si="8"/>
        <v>0</v>
      </c>
      <c r="N75" s="11">
        <f t="shared" si="9"/>
        <v>3.125E-2</v>
      </c>
      <c r="O75" s="11"/>
      <c r="P75" s="11"/>
      <c r="Q75" s="11"/>
      <c r="R75" s="11"/>
      <c r="S75" s="11"/>
      <c r="T75" s="11"/>
      <c r="V75" s="11"/>
      <c r="X75" s="11">
        <f t="shared" si="10"/>
        <v>3.125E-2</v>
      </c>
    </row>
    <row r="76" spans="1:25" outlineLevel="1" x14ac:dyDescent="0.15">
      <c r="A76" s="3">
        <v>36559</v>
      </c>
      <c r="B76" s="3" t="str">
        <f>VLOOKUP(F76, Aircraft!A$2:C$99, 2, FALSE)</f>
        <v>PA28</v>
      </c>
      <c r="C76" t="str">
        <f>VLOOKUP(F76, Aircraft!A$2:C$99, 3, FALSE)</f>
        <v>S</v>
      </c>
      <c r="D76" t="str">
        <f t="shared" si="5"/>
        <v>S</v>
      </c>
      <c r="E76" t="str">
        <f t="shared" si="6"/>
        <v>PA28</v>
      </c>
      <c r="F76" t="s">
        <v>132</v>
      </c>
      <c r="G76" t="s">
        <v>191</v>
      </c>
      <c r="H76" s="2" t="str">
        <f t="shared" si="7"/>
        <v>P1</v>
      </c>
      <c r="I76" t="s">
        <v>250</v>
      </c>
      <c r="J76" t="s">
        <v>58</v>
      </c>
      <c r="K76" s="4">
        <v>0.44791666666666669</v>
      </c>
      <c r="L76" s="4">
        <v>0.48125000000000001</v>
      </c>
      <c r="M76" s="11">
        <f>IF(AND(H76="P1", D76="S"), L76-K76, 0)</f>
        <v>3.3333333333333326E-2</v>
      </c>
      <c r="N76" s="11">
        <f t="shared" si="9"/>
        <v>0</v>
      </c>
      <c r="O76" s="11"/>
      <c r="P76" s="11"/>
      <c r="Q76" s="11"/>
      <c r="R76" s="11"/>
      <c r="S76" s="11"/>
      <c r="T76" s="11"/>
      <c r="V76" s="11"/>
      <c r="X76" s="11">
        <f t="shared" si="10"/>
        <v>3.3333333333333326E-2</v>
      </c>
      <c r="Y76" t="s">
        <v>173</v>
      </c>
    </row>
    <row r="77" spans="1:25" outlineLevel="1" x14ac:dyDescent="0.15">
      <c r="A77" s="3">
        <v>36559</v>
      </c>
      <c r="B77" s="3" t="str">
        <f>VLOOKUP(F77, Aircraft!A$2:C$99, 2, FALSE)</f>
        <v>PA28</v>
      </c>
      <c r="C77" t="str">
        <f>VLOOKUP(F77, Aircraft!A$2:C$99, 3, FALSE)</f>
        <v>S</v>
      </c>
      <c r="D77" t="str">
        <f t="shared" si="5"/>
        <v>S</v>
      </c>
      <c r="E77" t="str">
        <f>IF(ISNA(B77), "", B77)</f>
        <v>PA28</v>
      </c>
      <c r="F77" t="s">
        <v>132</v>
      </c>
      <c r="G77" t="s">
        <v>191</v>
      </c>
      <c r="H77" s="2" t="str">
        <f t="shared" si="7"/>
        <v>P1</v>
      </c>
      <c r="I77" t="s">
        <v>58</v>
      </c>
      <c r="J77" t="s">
        <v>148</v>
      </c>
      <c r="K77" s="4">
        <v>0.49305555555555558</v>
      </c>
      <c r="L77" s="4">
        <v>0.52013888888888882</v>
      </c>
      <c r="M77" s="11">
        <f>IF(AND(H77="P1", D77="S"), L77-K77, 0)</f>
        <v>2.7083333333333237E-2</v>
      </c>
      <c r="N77" s="11">
        <f t="shared" si="9"/>
        <v>0</v>
      </c>
      <c r="O77" s="11"/>
      <c r="P77" s="11"/>
      <c r="Q77" s="11"/>
      <c r="R77" s="11"/>
      <c r="S77" s="11"/>
      <c r="T77" s="11"/>
      <c r="V77" s="11"/>
      <c r="X77" s="11">
        <f t="shared" si="10"/>
        <v>2.7083333333333237E-2</v>
      </c>
    </row>
    <row r="78" spans="1:25" outlineLevel="1" x14ac:dyDescent="0.15">
      <c r="A78" s="3">
        <v>36559</v>
      </c>
      <c r="B78" s="3" t="str">
        <f>VLOOKUP(F78, Aircraft!A$2:C$99, 2, FALSE)</f>
        <v>PA28</v>
      </c>
      <c r="C78" t="str">
        <f>VLOOKUP(F78, Aircraft!A$2:C$99, 3, FALSE)</f>
        <v>S</v>
      </c>
      <c r="D78" t="str">
        <f>IF(ISNA(C78), "", C78)</f>
        <v>S</v>
      </c>
      <c r="E78" t="str">
        <f>IF(ISNA(B78), "", B78)</f>
        <v>PA28</v>
      </c>
      <c r="F78" t="s">
        <v>132</v>
      </c>
      <c r="G78" t="s">
        <v>191</v>
      </c>
      <c r="H78" s="2" t="str">
        <f>IF(UPPER(G78)&lt;&gt;"SELF",IF(G78&lt;&gt;"", "PUT", ""),"P1")</f>
        <v>P1</v>
      </c>
      <c r="I78" t="s">
        <v>148</v>
      </c>
      <c r="J78" t="s">
        <v>250</v>
      </c>
      <c r="K78" s="4">
        <v>0.53472222222222221</v>
      </c>
      <c r="L78" s="4">
        <v>0.5708333333333333</v>
      </c>
      <c r="M78" s="11">
        <f t="shared" ref="M78:M204" si="11">IF(AND(H78="P1", D78="S"), L78-K78, 0)</f>
        <v>3.6111111111111094E-2</v>
      </c>
      <c r="N78" s="11">
        <f t="shared" ref="N78:N167" si="12">IF(AND(H78="PUT", D78="S"), L78-K78, 0)</f>
        <v>0</v>
      </c>
      <c r="O78" s="11"/>
      <c r="P78" s="11"/>
      <c r="Q78" s="11"/>
      <c r="R78" s="11"/>
      <c r="S78" s="11"/>
      <c r="T78" s="11"/>
      <c r="V78" s="11"/>
      <c r="X78" s="11">
        <f t="shared" si="10"/>
        <v>3.6111111111111094E-2</v>
      </c>
    </row>
    <row r="79" spans="1:25" outlineLevel="1" x14ac:dyDescent="0.15">
      <c r="A79" s="3">
        <v>36559</v>
      </c>
      <c r="B79" s="3" t="str">
        <f>VLOOKUP(F79, Aircraft!A$2:C$99, 2, FALSE)</f>
        <v>PA28</v>
      </c>
      <c r="C79" t="str">
        <f>VLOOKUP(F79, Aircraft!A$2:C$99, 3, FALSE)</f>
        <v>S</v>
      </c>
      <c r="D79" t="str">
        <f t="shared" ref="D79:D141" si="13">IF(ISNA(C79), "", C79)</f>
        <v>S</v>
      </c>
      <c r="E79" t="str">
        <f t="shared" ref="E79:E141" si="14">IF(ISNA(B79), "", B79)</f>
        <v>PA28</v>
      </c>
      <c r="F79" t="s">
        <v>132</v>
      </c>
      <c r="G79" t="s">
        <v>133</v>
      </c>
      <c r="H79" s="2" t="str">
        <f t="shared" ref="H79:H141" si="15">IF(UPPER(G79)&lt;&gt;"SELF",IF(G79&lt;&gt;"", "PUT", ""),"P1")</f>
        <v>PUT</v>
      </c>
      <c r="I79" t="s">
        <v>250</v>
      </c>
      <c r="J79" t="s">
        <v>250</v>
      </c>
      <c r="K79" s="4">
        <v>0.62152777777777779</v>
      </c>
      <c r="L79" s="4">
        <v>0.64583333333333337</v>
      </c>
      <c r="M79" s="11">
        <f t="shared" si="11"/>
        <v>0</v>
      </c>
      <c r="N79" s="11">
        <f t="shared" si="12"/>
        <v>2.430555555555558E-2</v>
      </c>
      <c r="O79" s="11"/>
      <c r="P79" s="11"/>
      <c r="Q79" s="11"/>
      <c r="R79" s="11"/>
      <c r="S79" s="11"/>
      <c r="T79" s="11"/>
      <c r="V79" s="11"/>
      <c r="X79" s="11">
        <f t="shared" si="10"/>
        <v>2.430555555555558E-2</v>
      </c>
      <c r="Y79" t="s">
        <v>174</v>
      </c>
    </row>
    <row r="80" spans="1:25" outlineLevel="1" x14ac:dyDescent="0.15">
      <c r="A80" s="3">
        <v>36561</v>
      </c>
      <c r="B80" s="3" t="str">
        <f>VLOOKUP(F80, Aircraft!A$2:C$99, 2, FALSE)</f>
        <v>PA28</v>
      </c>
      <c r="C80" t="str">
        <f>VLOOKUP(F80, Aircraft!A$2:C$99, 3, FALSE)</f>
        <v>S</v>
      </c>
      <c r="D80" t="str">
        <f t="shared" si="13"/>
        <v>S</v>
      </c>
      <c r="E80" t="str">
        <f t="shared" si="14"/>
        <v>PA28</v>
      </c>
      <c r="F80" t="s">
        <v>267</v>
      </c>
      <c r="G80" t="s">
        <v>191</v>
      </c>
      <c r="H80" s="2" t="str">
        <f t="shared" si="15"/>
        <v>P1</v>
      </c>
      <c r="I80" t="s">
        <v>250</v>
      </c>
      <c r="J80" t="s">
        <v>250</v>
      </c>
      <c r="K80" s="4">
        <v>0.54166666666666663</v>
      </c>
      <c r="L80" s="4">
        <v>0.58680555555555558</v>
      </c>
      <c r="M80" s="11">
        <f t="shared" si="11"/>
        <v>4.5138888888888951E-2</v>
      </c>
      <c r="N80" s="11">
        <f t="shared" si="12"/>
        <v>0</v>
      </c>
      <c r="O80" s="11"/>
      <c r="P80" s="11"/>
      <c r="Q80" s="11"/>
      <c r="R80" s="11"/>
      <c r="S80" s="11"/>
      <c r="T80" s="11"/>
      <c r="V80" s="11"/>
      <c r="X80" s="11">
        <f t="shared" si="10"/>
        <v>4.5138888888888951E-2</v>
      </c>
      <c r="Y80" t="s">
        <v>175</v>
      </c>
    </row>
    <row r="81" spans="1:25" outlineLevel="1" x14ac:dyDescent="0.15">
      <c r="A81" s="3">
        <v>36569</v>
      </c>
      <c r="B81" s="3" t="str">
        <f>VLOOKUP(F81, Aircraft!A$2:C$99, 2, FALSE)</f>
        <v>PA28</v>
      </c>
      <c r="C81" t="str">
        <f>VLOOKUP(F81, Aircraft!A$2:C$99, 3, FALSE)</f>
        <v>S</v>
      </c>
      <c r="D81" t="str">
        <f t="shared" si="13"/>
        <v>S</v>
      </c>
      <c r="E81" t="str">
        <f t="shared" si="14"/>
        <v>PA28</v>
      </c>
      <c r="F81" t="s">
        <v>264</v>
      </c>
      <c r="G81" t="s">
        <v>191</v>
      </c>
      <c r="H81" s="2" t="str">
        <f t="shared" si="15"/>
        <v>P1</v>
      </c>
      <c r="I81" t="s">
        <v>250</v>
      </c>
      <c r="J81" t="s">
        <v>250</v>
      </c>
      <c r="K81" s="4">
        <v>0.69444444444444453</v>
      </c>
      <c r="L81" s="4">
        <v>0.72569444444444453</v>
      </c>
      <c r="M81" s="11">
        <f t="shared" si="11"/>
        <v>3.125E-2</v>
      </c>
      <c r="N81" s="11">
        <f t="shared" si="12"/>
        <v>0</v>
      </c>
      <c r="O81" s="11"/>
      <c r="P81" s="11"/>
      <c r="Q81" s="11"/>
      <c r="R81" s="11"/>
      <c r="S81" s="11"/>
      <c r="T81" s="11"/>
      <c r="V81" s="11"/>
      <c r="X81" s="11">
        <f t="shared" si="10"/>
        <v>3.125E-2</v>
      </c>
      <c r="Y81" t="s">
        <v>175</v>
      </c>
    </row>
    <row r="82" spans="1:25" outlineLevel="1" x14ac:dyDescent="0.15">
      <c r="A82" s="3">
        <v>36575</v>
      </c>
      <c r="B82" s="3" t="str">
        <f>VLOOKUP(F82, Aircraft!A$2:C$99, 2, FALSE)</f>
        <v>PA28</v>
      </c>
      <c r="C82" t="str">
        <f>VLOOKUP(F82, Aircraft!A$2:C$99, 3, FALSE)</f>
        <v>S</v>
      </c>
      <c r="D82" t="str">
        <f t="shared" si="13"/>
        <v>S</v>
      </c>
      <c r="E82" t="str">
        <f t="shared" si="14"/>
        <v>PA28</v>
      </c>
      <c r="F82" t="s">
        <v>266</v>
      </c>
      <c r="G82" t="s">
        <v>191</v>
      </c>
      <c r="H82" s="2" t="str">
        <f t="shared" si="15"/>
        <v>P1</v>
      </c>
      <c r="I82" t="s">
        <v>250</v>
      </c>
      <c r="J82" t="s">
        <v>250</v>
      </c>
      <c r="K82" s="4">
        <v>0.55902777777777779</v>
      </c>
      <c r="L82" s="4">
        <v>0.67013888888888884</v>
      </c>
      <c r="M82" s="11">
        <f t="shared" si="11"/>
        <v>0.11111111111111105</v>
      </c>
      <c r="N82" s="11">
        <f t="shared" si="12"/>
        <v>0</v>
      </c>
      <c r="O82" s="11"/>
      <c r="P82" s="11"/>
      <c r="Q82" s="11"/>
      <c r="R82" s="11"/>
      <c r="S82" s="11"/>
      <c r="T82" s="11"/>
      <c r="V82" s="11"/>
      <c r="X82" s="11">
        <f t="shared" si="10"/>
        <v>0.11111111111111105</v>
      </c>
      <c r="Y82" t="s">
        <v>233</v>
      </c>
    </row>
    <row r="83" spans="1:25" outlineLevel="1" x14ac:dyDescent="0.15">
      <c r="A83" s="3">
        <v>36576</v>
      </c>
      <c r="B83" s="3" t="str">
        <f>VLOOKUP(F83, Aircraft!A$2:C$99, 2, FALSE)</f>
        <v>PA28</v>
      </c>
      <c r="C83" t="str">
        <f>VLOOKUP(F83, Aircraft!A$2:C$99, 3, FALSE)</f>
        <v>S</v>
      </c>
      <c r="D83" t="str">
        <f t="shared" si="13"/>
        <v>S</v>
      </c>
      <c r="E83" t="str">
        <f t="shared" si="14"/>
        <v>PA28</v>
      </c>
      <c r="F83" t="s">
        <v>264</v>
      </c>
      <c r="G83" t="s">
        <v>191</v>
      </c>
      <c r="H83" s="2" t="str">
        <f t="shared" si="15"/>
        <v>P1</v>
      </c>
      <c r="I83" t="s">
        <v>250</v>
      </c>
      <c r="J83" t="s">
        <v>16</v>
      </c>
      <c r="K83" s="4">
        <v>0.5625</v>
      </c>
      <c r="L83" s="4">
        <v>0.60763888888888895</v>
      </c>
      <c r="M83" s="11">
        <f t="shared" si="11"/>
        <v>4.5138888888888951E-2</v>
      </c>
      <c r="N83" s="11">
        <f t="shared" si="12"/>
        <v>0</v>
      </c>
      <c r="O83" s="11"/>
      <c r="P83" s="11"/>
      <c r="Q83" s="11"/>
      <c r="R83" s="11"/>
      <c r="S83" s="11"/>
      <c r="T83" s="11"/>
      <c r="V83" s="11"/>
      <c r="X83" s="11">
        <f t="shared" si="10"/>
        <v>4.5138888888888951E-2</v>
      </c>
      <c r="Y83" t="s">
        <v>234</v>
      </c>
    </row>
    <row r="84" spans="1:25" outlineLevel="1" x14ac:dyDescent="0.15">
      <c r="A84" s="3">
        <v>36576</v>
      </c>
      <c r="B84" s="3" t="str">
        <f>VLOOKUP(F84, Aircraft!A$2:C$99, 2, FALSE)</f>
        <v>PA28</v>
      </c>
      <c r="C84" t="str">
        <f>VLOOKUP(F84, Aircraft!A$2:C$99, 3, FALSE)</f>
        <v>S</v>
      </c>
      <c r="D84" t="str">
        <f t="shared" si="13"/>
        <v>S</v>
      </c>
      <c r="E84" t="str">
        <f t="shared" si="14"/>
        <v>PA28</v>
      </c>
      <c r="F84" t="s">
        <v>264</v>
      </c>
      <c r="G84" t="s">
        <v>191</v>
      </c>
      <c r="H84" s="2" t="str">
        <f t="shared" si="15"/>
        <v>P1</v>
      </c>
      <c r="I84" t="s">
        <v>16</v>
      </c>
      <c r="J84" t="s">
        <v>250</v>
      </c>
      <c r="K84" s="4">
        <v>0.62847222222222221</v>
      </c>
      <c r="L84" s="4">
        <v>0.67013888888888884</v>
      </c>
      <c r="M84" s="11">
        <f t="shared" si="11"/>
        <v>4.166666666666663E-2</v>
      </c>
      <c r="N84" s="11">
        <f t="shared" si="12"/>
        <v>0</v>
      </c>
      <c r="O84" s="11"/>
      <c r="P84" s="11"/>
      <c r="Q84" s="11"/>
      <c r="R84" s="11"/>
      <c r="S84" s="11"/>
      <c r="T84" s="11"/>
      <c r="V84" s="11"/>
      <c r="X84" s="11">
        <f t="shared" si="10"/>
        <v>4.166666666666663E-2</v>
      </c>
    </row>
    <row r="85" spans="1:25" outlineLevel="1" x14ac:dyDescent="0.15">
      <c r="A85" s="3">
        <v>36582</v>
      </c>
      <c r="B85" s="3" t="str">
        <f>VLOOKUP(F85, Aircraft!A$2:C$99, 2, FALSE)</f>
        <v>PA28</v>
      </c>
      <c r="C85" t="str">
        <f>VLOOKUP(F85, Aircraft!A$2:C$99, 3, FALSE)</f>
        <v>S</v>
      </c>
      <c r="D85" t="str">
        <f t="shared" si="13"/>
        <v>S</v>
      </c>
      <c r="E85" t="str">
        <f t="shared" si="14"/>
        <v>PA28</v>
      </c>
      <c r="F85" t="s">
        <v>266</v>
      </c>
      <c r="G85" t="s">
        <v>191</v>
      </c>
      <c r="H85" s="2" t="str">
        <f t="shared" si="15"/>
        <v>P1</v>
      </c>
      <c r="I85" t="s">
        <v>250</v>
      </c>
      <c r="J85" t="s">
        <v>157</v>
      </c>
      <c r="K85" s="4">
        <v>0.55555555555555558</v>
      </c>
      <c r="L85" s="4">
        <v>0.61111111111111105</v>
      </c>
      <c r="M85" s="11">
        <f t="shared" si="11"/>
        <v>5.5555555555555469E-2</v>
      </c>
      <c r="N85" s="11">
        <f t="shared" si="12"/>
        <v>0</v>
      </c>
      <c r="O85" s="11"/>
      <c r="P85" s="11"/>
      <c r="Q85" s="11"/>
      <c r="R85" s="11"/>
      <c r="S85" s="11"/>
      <c r="T85" s="11"/>
      <c r="V85" s="11"/>
      <c r="X85" s="11">
        <f t="shared" si="10"/>
        <v>5.5555555555555469E-2</v>
      </c>
    </row>
    <row r="86" spans="1:25" outlineLevel="1" x14ac:dyDescent="0.15">
      <c r="A86" s="3">
        <v>36582</v>
      </c>
      <c r="B86" s="3" t="str">
        <f>VLOOKUP(F86, Aircraft!A$2:C$99, 2, FALSE)</f>
        <v>PA28</v>
      </c>
      <c r="C86" t="str">
        <f>VLOOKUP(F86, Aircraft!A$2:C$99, 3, FALSE)</f>
        <v>S</v>
      </c>
      <c r="D86" t="str">
        <f t="shared" si="13"/>
        <v>S</v>
      </c>
      <c r="E86" t="str">
        <f t="shared" si="14"/>
        <v>PA28</v>
      </c>
      <c r="F86" t="s">
        <v>266</v>
      </c>
      <c r="G86" t="s">
        <v>191</v>
      </c>
      <c r="H86" s="2" t="str">
        <f t="shared" si="15"/>
        <v>P1</v>
      </c>
      <c r="I86" t="s">
        <v>157</v>
      </c>
      <c r="J86" t="s">
        <v>250</v>
      </c>
      <c r="K86" s="4">
        <v>0.63888888888888895</v>
      </c>
      <c r="L86" s="4">
        <v>0.6875</v>
      </c>
      <c r="M86" s="11">
        <f t="shared" si="11"/>
        <v>4.8611111111111049E-2</v>
      </c>
      <c r="N86" s="11">
        <f t="shared" si="12"/>
        <v>0</v>
      </c>
      <c r="O86" s="11"/>
      <c r="P86" s="11"/>
      <c r="Q86" s="11"/>
      <c r="R86" s="11"/>
      <c r="S86" s="11"/>
      <c r="T86" s="11"/>
      <c r="V86" s="11"/>
      <c r="X86" s="11">
        <f t="shared" si="10"/>
        <v>4.8611111111111049E-2</v>
      </c>
    </row>
    <row r="87" spans="1:25" outlineLevel="1" x14ac:dyDescent="0.15">
      <c r="A87" s="3">
        <v>36597</v>
      </c>
      <c r="B87" s="3" t="str">
        <f>VLOOKUP(F87, Aircraft!A$2:C$99, 2, FALSE)</f>
        <v>PA28</v>
      </c>
      <c r="C87" t="str">
        <f>VLOOKUP(F87, Aircraft!A$2:C$99, 3, FALSE)</f>
        <v>S</v>
      </c>
      <c r="D87" t="str">
        <f t="shared" si="13"/>
        <v>S</v>
      </c>
      <c r="E87" t="str">
        <f t="shared" si="14"/>
        <v>PA28</v>
      </c>
      <c r="F87" t="s">
        <v>267</v>
      </c>
      <c r="G87" t="s">
        <v>191</v>
      </c>
      <c r="H87" s="2" t="str">
        <f t="shared" si="15"/>
        <v>P1</v>
      </c>
      <c r="I87" t="s">
        <v>250</v>
      </c>
      <c r="J87" t="s">
        <v>250</v>
      </c>
      <c r="K87" s="4">
        <v>0.6875</v>
      </c>
      <c r="L87" s="4">
        <v>0.73611111111111116</v>
      </c>
      <c r="M87" s="11">
        <f t="shared" si="11"/>
        <v>4.861111111111116E-2</v>
      </c>
      <c r="N87" s="11">
        <f t="shared" si="12"/>
        <v>0</v>
      </c>
      <c r="O87" s="11"/>
      <c r="P87" s="11"/>
      <c r="Q87" s="11"/>
      <c r="R87" s="11"/>
      <c r="S87" s="11"/>
      <c r="T87" s="11"/>
      <c r="V87" s="11"/>
      <c r="X87" s="11">
        <f t="shared" si="10"/>
        <v>4.861111111111116E-2</v>
      </c>
      <c r="Y87" t="s">
        <v>235</v>
      </c>
    </row>
    <row r="88" spans="1:25" outlineLevel="1" x14ac:dyDescent="0.15">
      <c r="A88" s="3">
        <v>36603</v>
      </c>
      <c r="B88" s="3" t="str">
        <f>VLOOKUP(F88, Aircraft!A$2:C$99, 2, FALSE)</f>
        <v>PA28</v>
      </c>
      <c r="C88" t="str">
        <f>VLOOKUP(F88, Aircraft!A$2:C$99, 3, FALSE)</f>
        <v>S</v>
      </c>
      <c r="D88" t="str">
        <f t="shared" si="13"/>
        <v>S</v>
      </c>
      <c r="E88" t="str">
        <f t="shared" si="14"/>
        <v>PA28</v>
      </c>
      <c r="F88" t="s">
        <v>132</v>
      </c>
      <c r="G88" t="s">
        <v>191</v>
      </c>
      <c r="H88" s="2" t="str">
        <f t="shared" si="15"/>
        <v>P1</v>
      </c>
      <c r="I88" t="s">
        <v>250</v>
      </c>
      <c r="J88" t="s">
        <v>62</v>
      </c>
      <c r="K88" s="4">
        <v>0.50347222222222221</v>
      </c>
      <c r="L88" s="4">
        <v>0.56597222222222221</v>
      </c>
      <c r="M88" s="11">
        <f t="shared" si="11"/>
        <v>6.25E-2</v>
      </c>
      <c r="N88" s="11">
        <f t="shared" si="12"/>
        <v>0</v>
      </c>
      <c r="O88" s="11"/>
      <c r="P88" s="11"/>
      <c r="Q88" s="11"/>
      <c r="R88" s="11"/>
      <c r="S88" s="11"/>
      <c r="T88" s="11"/>
      <c r="V88" s="11"/>
      <c r="X88" s="11">
        <f t="shared" si="10"/>
        <v>6.25E-2</v>
      </c>
    </row>
    <row r="89" spans="1:25" outlineLevel="1" x14ac:dyDescent="0.15">
      <c r="A89" s="3">
        <v>36603</v>
      </c>
      <c r="B89" s="3" t="str">
        <f>VLOOKUP(F89, Aircraft!A$2:C$99, 2, FALSE)</f>
        <v>PA28</v>
      </c>
      <c r="C89" t="str">
        <f>VLOOKUP(F89, Aircraft!A$2:C$99, 3, FALSE)</f>
        <v>S</v>
      </c>
      <c r="D89" t="str">
        <f t="shared" si="13"/>
        <v>S</v>
      </c>
      <c r="E89" t="str">
        <f t="shared" si="14"/>
        <v>PA28</v>
      </c>
      <c r="F89" t="s">
        <v>132</v>
      </c>
      <c r="G89" t="s">
        <v>191</v>
      </c>
      <c r="H89" s="2" t="str">
        <f t="shared" si="15"/>
        <v>P1</v>
      </c>
      <c r="I89" t="s">
        <v>62</v>
      </c>
      <c r="J89" t="s">
        <v>250</v>
      </c>
      <c r="K89" s="4">
        <v>0.6020833333333333</v>
      </c>
      <c r="L89" s="4">
        <v>0.66180555555555554</v>
      </c>
      <c r="M89" s="11">
        <f t="shared" si="11"/>
        <v>5.9722222222222232E-2</v>
      </c>
      <c r="N89" s="11">
        <f t="shared" si="12"/>
        <v>0</v>
      </c>
      <c r="O89" s="11"/>
      <c r="P89" s="11"/>
      <c r="Q89" s="11"/>
      <c r="R89" s="11"/>
      <c r="S89" s="11"/>
      <c r="T89" s="11"/>
      <c r="V89" s="11"/>
      <c r="X89" s="11">
        <f t="shared" si="10"/>
        <v>5.9722222222222232E-2</v>
      </c>
      <c r="Y89" t="s">
        <v>236</v>
      </c>
    </row>
    <row r="90" spans="1:25" outlineLevel="1" x14ac:dyDescent="0.15">
      <c r="A90" s="3">
        <v>36603</v>
      </c>
      <c r="B90" s="3" t="str">
        <f>VLOOKUP(F90, Aircraft!A$2:C$99, 2, FALSE)</f>
        <v>PA28</v>
      </c>
      <c r="C90" t="str">
        <f>VLOOKUP(F90, Aircraft!A$2:C$99, 3, FALSE)</f>
        <v>S</v>
      </c>
      <c r="D90" t="str">
        <f t="shared" si="13"/>
        <v>S</v>
      </c>
      <c r="E90" t="str">
        <f t="shared" si="14"/>
        <v>PA28</v>
      </c>
      <c r="F90" t="s">
        <v>132</v>
      </c>
      <c r="G90" t="s">
        <v>191</v>
      </c>
      <c r="H90" s="2" t="str">
        <f t="shared" si="15"/>
        <v>P1</v>
      </c>
      <c r="I90" t="s">
        <v>250</v>
      </c>
      <c r="J90" t="s">
        <v>250</v>
      </c>
      <c r="K90" s="4">
        <v>0.67222222222222217</v>
      </c>
      <c r="L90" s="4">
        <v>0.70347222222222217</v>
      </c>
      <c r="M90" s="11">
        <f t="shared" si="11"/>
        <v>3.125E-2</v>
      </c>
      <c r="N90" s="11">
        <f t="shared" si="12"/>
        <v>0</v>
      </c>
      <c r="O90" s="11"/>
      <c r="P90" s="11"/>
      <c r="Q90" s="11"/>
      <c r="R90" s="11"/>
      <c r="S90" s="11"/>
      <c r="T90" s="11"/>
      <c r="V90" s="11"/>
      <c r="X90" s="11">
        <f t="shared" si="10"/>
        <v>3.125E-2</v>
      </c>
      <c r="Y90" t="s">
        <v>237</v>
      </c>
    </row>
    <row r="91" spans="1:25" outlineLevel="1" x14ac:dyDescent="0.15">
      <c r="A91" s="3">
        <v>36611</v>
      </c>
      <c r="B91" s="3" t="str">
        <f>VLOOKUP(F91, Aircraft!A$2:C$99, 2, FALSE)</f>
        <v>PA28</v>
      </c>
      <c r="C91" t="str">
        <f>VLOOKUP(F91, Aircraft!A$2:C$99, 3, FALSE)</f>
        <v>S</v>
      </c>
      <c r="D91" t="str">
        <f t="shared" si="13"/>
        <v>S</v>
      </c>
      <c r="E91" t="str">
        <f t="shared" si="14"/>
        <v>PA28</v>
      </c>
      <c r="F91" t="s">
        <v>266</v>
      </c>
      <c r="G91" t="s">
        <v>191</v>
      </c>
      <c r="H91" s="2" t="str">
        <f t="shared" si="15"/>
        <v>P1</v>
      </c>
      <c r="I91" t="s">
        <v>250</v>
      </c>
      <c r="J91" t="s">
        <v>549</v>
      </c>
      <c r="K91" s="4">
        <v>0.46180555555555558</v>
      </c>
      <c r="L91" s="4">
        <v>0.48055555555555557</v>
      </c>
      <c r="M91" s="11">
        <f t="shared" si="11"/>
        <v>1.8749999999999989E-2</v>
      </c>
      <c r="N91" s="11">
        <f t="shared" si="12"/>
        <v>0</v>
      </c>
      <c r="O91" s="11"/>
      <c r="P91" s="11"/>
      <c r="Q91" s="11"/>
      <c r="R91" s="11"/>
      <c r="S91" s="11"/>
      <c r="T91" s="11"/>
      <c r="V91" s="11"/>
      <c r="X91" s="11">
        <f t="shared" si="10"/>
        <v>1.8749999999999989E-2</v>
      </c>
    </row>
    <row r="92" spans="1:25" outlineLevel="1" x14ac:dyDescent="0.15">
      <c r="A92" s="3">
        <v>36611</v>
      </c>
      <c r="B92" s="3" t="str">
        <f>VLOOKUP(F92, Aircraft!A$2:C$99, 2, FALSE)</f>
        <v>PA28</v>
      </c>
      <c r="C92" t="str">
        <f>VLOOKUP(F92, Aircraft!A$2:C$99, 3, FALSE)</f>
        <v>S</v>
      </c>
      <c r="D92" t="str">
        <f t="shared" si="13"/>
        <v>S</v>
      </c>
      <c r="E92" t="str">
        <f t="shared" si="14"/>
        <v>PA28</v>
      </c>
      <c r="F92" t="s">
        <v>266</v>
      </c>
      <c r="G92" t="s">
        <v>191</v>
      </c>
      <c r="H92" s="2" t="str">
        <f t="shared" si="15"/>
        <v>P1</v>
      </c>
      <c r="I92" t="s">
        <v>549</v>
      </c>
      <c r="J92" t="s">
        <v>549</v>
      </c>
      <c r="K92" s="4">
        <v>0.49305555555555558</v>
      </c>
      <c r="L92" s="4">
        <v>0.51388888888888895</v>
      </c>
      <c r="M92" s="11">
        <f t="shared" si="11"/>
        <v>2.083333333333337E-2</v>
      </c>
      <c r="N92" s="11">
        <f t="shared" si="12"/>
        <v>0</v>
      </c>
      <c r="O92" s="11"/>
      <c r="P92" s="11"/>
      <c r="Q92" s="11"/>
      <c r="R92" s="11"/>
      <c r="S92" s="11"/>
      <c r="T92" s="11"/>
      <c r="V92" s="11"/>
      <c r="X92" s="11">
        <f t="shared" si="10"/>
        <v>2.083333333333337E-2</v>
      </c>
      <c r="Y92" t="s">
        <v>238</v>
      </c>
    </row>
    <row r="93" spans="1:25" outlineLevel="1" x14ac:dyDescent="0.15">
      <c r="A93" s="3">
        <v>36611</v>
      </c>
      <c r="B93" s="3" t="str">
        <f>VLOOKUP(F93, Aircraft!A$2:C$99, 2, FALSE)</f>
        <v>PA28</v>
      </c>
      <c r="C93" t="str">
        <f>VLOOKUP(F93, Aircraft!A$2:C$99, 3, FALSE)</f>
        <v>S</v>
      </c>
      <c r="D93" t="str">
        <f t="shared" si="13"/>
        <v>S</v>
      </c>
      <c r="E93" t="str">
        <f t="shared" si="14"/>
        <v>PA28</v>
      </c>
      <c r="F93" t="s">
        <v>266</v>
      </c>
      <c r="G93" t="s">
        <v>191</v>
      </c>
      <c r="H93" s="2" t="str">
        <f t="shared" si="15"/>
        <v>P1</v>
      </c>
      <c r="I93" t="s">
        <v>549</v>
      </c>
      <c r="J93" t="s">
        <v>250</v>
      </c>
      <c r="K93" s="4">
        <v>0.55902777777777779</v>
      </c>
      <c r="L93" s="4">
        <v>0.57638888888888895</v>
      </c>
      <c r="M93" s="11">
        <f t="shared" si="11"/>
        <v>1.736111111111116E-2</v>
      </c>
      <c r="N93" s="11">
        <f t="shared" si="12"/>
        <v>0</v>
      </c>
      <c r="O93" s="11"/>
      <c r="P93" s="11"/>
      <c r="Q93" s="11"/>
      <c r="R93" s="11"/>
      <c r="S93" s="11"/>
      <c r="T93" s="11"/>
      <c r="V93" s="11"/>
      <c r="X93" s="11">
        <f t="shared" si="10"/>
        <v>1.736111111111116E-2</v>
      </c>
    </row>
    <row r="94" spans="1:25" outlineLevel="1" x14ac:dyDescent="0.15">
      <c r="A94" s="3">
        <v>36616</v>
      </c>
      <c r="B94" s="3" t="str">
        <f>VLOOKUP(F94, Aircraft!A$2:C$99, 2, FALSE)</f>
        <v>PA28</v>
      </c>
      <c r="C94" t="str">
        <f>VLOOKUP(F94, Aircraft!A$2:C$99, 3, FALSE)</f>
        <v>S</v>
      </c>
      <c r="D94" t="str">
        <f t="shared" si="13"/>
        <v>S</v>
      </c>
      <c r="E94" t="str">
        <f t="shared" si="14"/>
        <v>PA28</v>
      </c>
      <c r="F94" t="s">
        <v>267</v>
      </c>
      <c r="G94" t="s">
        <v>191</v>
      </c>
      <c r="H94" s="2" t="str">
        <f t="shared" si="15"/>
        <v>P1</v>
      </c>
      <c r="I94" t="s">
        <v>250</v>
      </c>
      <c r="J94" t="s">
        <v>250</v>
      </c>
      <c r="K94" s="4">
        <v>0.65972222222222221</v>
      </c>
      <c r="L94" s="4">
        <v>0.71180555555555547</v>
      </c>
      <c r="M94" s="11">
        <f t="shared" si="11"/>
        <v>5.2083333333333259E-2</v>
      </c>
      <c r="N94" s="11">
        <f t="shared" si="12"/>
        <v>0</v>
      </c>
      <c r="O94" s="11"/>
      <c r="P94" s="11"/>
      <c r="Q94" s="11"/>
      <c r="R94" s="11"/>
      <c r="S94" s="11"/>
      <c r="T94" s="11"/>
      <c r="V94" s="11"/>
      <c r="X94" s="11">
        <f t="shared" si="10"/>
        <v>5.2083333333333259E-2</v>
      </c>
      <c r="Y94" t="s">
        <v>239</v>
      </c>
    </row>
    <row r="95" spans="1:25" outlineLevel="1" x14ac:dyDescent="0.15">
      <c r="A95" s="3">
        <v>36617</v>
      </c>
      <c r="B95" s="3" t="str">
        <f>VLOOKUP(F95, Aircraft!A$2:C$99, 2, FALSE)</f>
        <v>PA28</v>
      </c>
      <c r="C95" t="str">
        <f>VLOOKUP(F95, Aircraft!A$2:C$99, 3, FALSE)</f>
        <v>S</v>
      </c>
      <c r="D95" t="str">
        <f t="shared" si="13"/>
        <v>S</v>
      </c>
      <c r="E95" t="str">
        <f t="shared" si="14"/>
        <v>PA28</v>
      </c>
      <c r="F95" t="s">
        <v>132</v>
      </c>
      <c r="G95" t="s">
        <v>191</v>
      </c>
      <c r="H95" s="2" t="str">
        <f t="shared" si="15"/>
        <v>P1</v>
      </c>
      <c r="I95" t="s">
        <v>250</v>
      </c>
      <c r="J95" t="s">
        <v>250</v>
      </c>
      <c r="K95" s="4">
        <v>0.44791666666666669</v>
      </c>
      <c r="L95" s="4">
        <v>0.4861111111111111</v>
      </c>
      <c r="M95" s="11">
        <f t="shared" si="11"/>
        <v>3.819444444444442E-2</v>
      </c>
      <c r="N95" s="11">
        <f t="shared" si="12"/>
        <v>0</v>
      </c>
      <c r="O95" s="11"/>
      <c r="P95" s="11"/>
      <c r="Q95" s="11"/>
      <c r="R95" s="11"/>
      <c r="S95" s="11"/>
      <c r="T95" s="11"/>
      <c r="V95" s="11"/>
      <c r="X95" s="11">
        <f t="shared" si="10"/>
        <v>3.819444444444442E-2</v>
      </c>
      <c r="Y95" t="s">
        <v>240</v>
      </c>
    </row>
    <row r="96" spans="1:25" outlineLevel="1" x14ac:dyDescent="0.15">
      <c r="A96" s="3">
        <v>36618</v>
      </c>
      <c r="B96" s="3" t="str">
        <f>VLOOKUP(F96, Aircraft!A$2:C$99, 2, FALSE)</f>
        <v>PA28</v>
      </c>
      <c r="C96" t="str">
        <f>VLOOKUP(F96, Aircraft!A$2:C$99, 3, FALSE)</f>
        <v>S</v>
      </c>
      <c r="D96" t="str">
        <f t="shared" si="13"/>
        <v>S</v>
      </c>
      <c r="E96" t="str">
        <f t="shared" si="14"/>
        <v>PA28</v>
      </c>
      <c r="F96" t="s">
        <v>132</v>
      </c>
      <c r="G96" t="s">
        <v>191</v>
      </c>
      <c r="H96" s="2" t="str">
        <f t="shared" si="15"/>
        <v>P1</v>
      </c>
      <c r="I96" t="s">
        <v>250</v>
      </c>
      <c r="J96" t="s">
        <v>250</v>
      </c>
      <c r="K96" s="4">
        <v>0.51041666666666663</v>
      </c>
      <c r="L96" s="4">
        <v>0.54513888888888895</v>
      </c>
      <c r="M96" s="11">
        <f t="shared" si="11"/>
        <v>3.4722222222222321E-2</v>
      </c>
      <c r="N96" s="11">
        <f t="shared" si="12"/>
        <v>0</v>
      </c>
      <c r="O96" s="11"/>
      <c r="P96" s="11"/>
      <c r="Q96" s="11"/>
      <c r="R96" s="11"/>
      <c r="S96" s="11"/>
      <c r="T96" s="11"/>
      <c r="V96" s="11"/>
      <c r="X96" s="11">
        <f t="shared" si="10"/>
        <v>3.4722222222222321E-2</v>
      </c>
      <c r="Y96" t="s">
        <v>241</v>
      </c>
    </row>
    <row r="97" spans="1:25" outlineLevel="1" x14ac:dyDescent="0.15">
      <c r="A97" s="3">
        <v>36624</v>
      </c>
      <c r="B97" s="3" t="str">
        <f>VLOOKUP(F97, Aircraft!A$2:C$99, 2, FALSE)</f>
        <v>PA28</v>
      </c>
      <c r="C97" t="str">
        <f>VLOOKUP(F97, Aircraft!A$2:C$99, 3, FALSE)</f>
        <v>S</v>
      </c>
      <c r="D97" t="str">
        <f t="shared" si="13"/>
        <v>S</v>
      </c>
      <c r="E97" t="str">
        <f t="shared" si="14"/>
        <v>PA28</v>
      </c>
      <c r="F97" t="s">
        <v>187</v>
      </c>
      <c r="G97" t="s">
        <v>191</v>
      </c>
      <c r="H97" s="2" t="str">
        <f t="shared" si="15"/>
        <v>P1</v>
      </c>
      <c r="I97" t="s">
        <v>250</v>
      </c>
      <c r="J97" t="s">
        <v>62</v>
      </c>
      <c r="K97" s="4">
        <v>0.44097222222222227</v>
      </c>
      <c r="L97" s="4">
        <v>0.5</v>
      </c>
      <c r="M97" s="11">
        <f t="shared" si="11"/>
        <v>5.9027777777777735E-2</v>
      </c>
      <c r="N97" s="11">
        <f t="shared" si="12"/>
        <v>0</v>
      </c>
      <c r="O97" s="11"/>
      <c r="P97" s="11"/>
      <c r="Q97" s="11"/>
      <c r="R97" s="11"/>
      <c r="S97" s="11"/>
      <c r="T97" s="11"/>
      <c r="V97" s="11"/>
      <c r="X97" s="11">
        <f t="shared" si="10"/>
        <v>5.9027777777777735E-2</v>
      </c>
    </row>
    <row r="98" spans="1:25" outlineLevel="1" x14ac:dyDescent="0.15">
      <c r="A98" s="3">
        <v>36624</v>
      </c>
      <c r="B98" s="3" t="str">
        <f>VLOOKUP(F98, Aircraft!A$2:C$99, 2, FALSE)</f>
        <v>PA28</v>
      </c>
      <c r="C98" t="str">
        <f>VLOOKUP(F98, Aircraft!A$2:C$99, 3, FALSE)</f>
        <v>S</v>
      </c>
      <c r="D98" t="str">
        <f t="shared" si="13"/>
        <v>S</v>
      </c>
      <c r="E98" t="str">
        <f t="shared" si="14"/>
        <v>PA28</v>
      </c>
      <c r="F98" t="s">
        <v>187</v>
      </c>
      <c r="G98" t="s">
        <v>191</v>
      </c>
      <c r="H98" s="2" t="str">
        <f t="shared" si="15"/>
        <v>P1</v>
      </c>
      <c r="I98" t="s">
        <v>62</v>
      </c>
      <c r="J98" t="s">
        <v>250</v>
      </c>
      <c r="K98" s="4">
        <v>0.51388888888888895</v>
      </c>
      <c r="L98" s="4">
        <v>0.56597222222222221</v>
      </c>
      <c r="M98" s="11">
        <f t="shared" si="11"/>
        <v>5.2083333333333259E-2</v>
      </c>
      <c r="N98" s="11">
        <f t="shared" si="12"/>
        <v>0</v>
      </c>
      <c r="O98" s="11"/>
      <c r="P98" s="11"/>
      <c r="Q98" s="11"/>
      <c r="R98" s="11"/>
      <c r="S98" s="11"/>
      <c r="T98" s="11"/>
      <c r="V98" s="11"/>
      <c r="X98" s="11">
        <f t="shared" si="10"/>
        <v>5.2083333333333259E-2</v>
      </c>
    </row>
    <row r="99" spans="1:25" outlineLevel="1" x14ac:dyDescent="0.15">
      <c r="A99" s="3">
        <v>36625</v>
      </c>
      <c r="B99" s="3" t="str">
        <f>VLOOKUP(F99, Aircraft!A$2:C$99, 2, FALSE)</f>
        <v>PA28</v>
      </c>
      <c r="C99" t="str">
        <f>VLOOKUP(F99, Aircraft!A$2:C$99, 3, FALSE)</f>
        <v>S</v>
      </c>
      <c r="D99" t="str">
        <f t="shared" si="13"/>
        <v>S</v>
      </c>
      <c r="E99" t="str">
        <f t="shared" si="14"/>
        <v>PA28</v>
      </c>
      <c r="F99" t="s">
        <v>266</v>
      </c>
      <c r="G99" t="s">
        <v>191</v>
      </c>
      <c r="H99" s="2" t="str">
        <f t="shared" si="15"/>
        <v>P1</v>
      </c>
      <c r="I99" t="s">
        <v>250</v>
      </c>
      <c r="J99" t="s">
        <v>250</v>
      </c>
      <c r="K99" s="4">
        <v>0.55902777777777779</v>
      </c>
      <c r="L99" s="4">
        <v>0.61111111111111105</v>
      </c>
      <c r="M99" s="11">
        <f t="shared" si="11"/>
        <v>5.2083333333333259E-2</v>
      </c>
      <c r="N99" s="11">
        <f t="shared" si="12"/>
        <v>0</v>
      </c>
      <c r="O99" s="11"/>
      <c r="P99" s="11"/>
      <c r="Q99" s="11"/>
      <c r="R99" s="11"/>
      <c r="S99" s="11"/>
      <c r="T99" s="11"/>
      <c r="V99" s="11"/>
      <c r="X99" s="11">
        <f t="shared" si="10"/>
        <v>5.2083333333333259E-2</v>
      </c>
      <c r="Y99" t="s">
        <v>333</v>
      </c>
    </row>
    <row r="100" spans="1:25" outlineLevel="1" x14ac:dyDescent="0.15">
      <c r="A100" s="3">
        <v>36625</v>
      </c>
      <c r="B100" s="3" t="str">
        <f>VLOOKUP(F100, Aircraft!A$2:C$99, 2, FALSE)</f>
        <v>PA28</v>
      </c>
      <c r="C100" t="str">
        <f>VLOOKUP(F100, Aircraft!A$2:C$99, 3, FALSE)</f>
        <v>S</v>
      </c>
      <c r="D100" t="str">
        <f t="shared" si="13"/>
        <v>S</v>
      </c>
      <c r="E100" t="str">
        <f t="shared" si="14"/>
        <v>PA28</v>
      </c>
      <c r="F100" t="s">
        <v>266</v>
      </c>
      <c r="G100" t="s">
        <v>191</v>
      </c>
      <c r="H100" s="2" t="str">
        <f t="shared" si="15"/>
        <v>P1</v>
      </c>
      <c r="I100" t="s">
        <v>250</v>
      </c>
      <c r="J100" t="s">
        <v>76</v>
      </c>
      <c r="K100" s="4">
        <v>0.66666666666666663</v>
      </c>
      <c r="L100" s="4">
        <v>0.70486111111111116</v>
      </c>
      <c r="M100" s="11">
        <f t="shared" si="11"/>
        <v>3.8194444444444531E-2</v>
      </c>
      <c r="N100" s="11">
        <f t="shared" si="12"/>
        <v>0</v>
      </c>
      <c r="O100" s="11"/>
      <c r="P100" s="11"/>
      <c r="Q100" s="11"/>
      <c r="R100" s="11"/>
      <c r="S100" s="11"/>
      <c r="T100" s="11"/>
      <c r="V100" s="11"/>
      <c r="X100" s="11">
        <f t="shared" si="10"/>
        <v>3.8194444444444531E-2</v>
      </c>
    </row>
    <row r="101" spans="1:25" outlineLevel="1" x14ac:dyDescent="0.15">
      <c r="A101" s="3">
        <v>36625</v>
      </c>
      <c r="B101" s="3" t="str">
        <f>VLOOKUP(F101, Aircraft!A$2:C$99, 2, FALSE)</f>
        <v>PA28</v>
      </c>
      <c r="C101" t="str">
        <f>VLOOKUP(F101, Aircraft!A$2:C$99, 3, FALSE)</f>
        <v>S</v>
      </c>
      <c r="D101" t="str">
        <f t="shared" si="13"/>
        <v>S</v>
      </c>
      <c r="E101" t="str">
        <f t="shared" si="14"/>
        <v>PA28</v>
      </c>
      <c r="F101" t="s">
        <v>266</v>
      </c>
      <c r="G101" t="s">
        <v>191</v>
      </c>
      <c r="H101" s="2" t="str">
        <f t="shared" si="15"/>
        <v>P1</v>
      </c>
      <c r="I101" t="s">
        <v>148</v>
      </c>
      <c r="J101" t="s">
        <v>250</v>
      </c>
      <c r="K101" s="4">
        <v>0.72083333333333333</v>
      </c>
      <c r="L101" s="4">
        <v>0.74861111111111101</v>
      </c>
      <c r="M101" s="11">
        <f t="shared" si="11"/>
        <v>2.7777777777777679E-2</v>
      </c>
      <c r="N101" s="11">
        <f t="shared" si="12"/>
        <v>0</v>
      </c>
      <c r="O101" s="11"/>
      <c r="P101" s="11"/>
      <c r="Q101" s="11"/>
      <c r="R101" s="11"/>
      <c r="S101" s="11"/>
      <c r="T101" s="11"/>
      <c r="V101" s="11"/>
      <c r="X101" s="11">
        <f t="shared" si="10"/>
        <v>2.7777777777777679E-2</v>
      </c>
    </row>
    <row r="102" spans="1:25" outlineLevel="1" x14ac:dyDescent="0.15">
      <c r="A102" s="3">
        <v>36626</v>
      </c>
      <c r="B102" s="3" t="str">
        <f>VLOOKUP(F102, Aircraft!A$2:C$99, 2, FALSE)</f>
        <v>PA28</v>
      </c>
      <c r="C102" t="str">
        <f>VLOOKUP(F102, Aircraft!A$2:C$99, 3, FALSE)</f>
        <v>S</v>
      </c>
      <c r="D102" t="str">
        <f t="shared" si="13"/>
        <v>S</v>
      </c>
      <c r="E102" t="str">
        <f t="shared" si="14"/>
        <v>PA28</v>
      </c>
      <c r="F102" t="s">
        <v>266</v>
      </c>
      <c r="G102" t="s">
        <v>191</v>
      </c>
      <c r="H102" s="2" t="str">
        <f t="shared" si="15"/>
        <v>P1</v>
      </c>
      <c r="I102" t="s">
        <v>250</v>
      </c>
      <c r="J102" t="s">
        <v>62</v>
      </c>
      <c r="K102" s="4">
        <v>0.52777777777777779</v>
      </c>
      <c r="L102" s="4">
        <v>0.57986111111111105</v>
      </c>
      <c r="M102" s="11">
        <f t="shared" si="11"/>
        <v>5.2083333333333259E-2</v>
      </c>
      <c r="N102" s="11">
        <f t="shared" si="12"/>
        <v>0</v>
      </c>
      <c r="O102" s="11"/>
      <c r="P102" s="11"/>
      <c r="Q102" s="11"/>
      <c r="R102" s="11"/>
      <c r="S102" s="11"/>
      <c r="T102" s="11"/>
      <c r="V102" s="11"/>
      <c r="X102" s="11">
        <f t="shared" si="10"/>
        <v>5.2083333333333259E-2</v>
      </c>
    </row>
    <row r="103" spans="1:25" outlineLevel="1" x14ac:dyDescent="0.15">
      <c r="A103" s="3">
        <v>36626</v>
      </c>
      <c r="B103" s="3" t="str">
        <f>VLOOKUP(F103, Aircraft!A$2:C$99, 2, FALSE)</f>
        <v>PA28</v>
      </c>
      <c r="C103" t="str">
        <f>VLOOKUP(F103, Aircraft!A$2:C$99, 3, FALSE)</f>
        <v>S</v>
      </c>
      <c r="D103" t="str">
        <f t="shared" si="13"/>
        <v>S</v>
      </c>
      <c r="E103" t="str">
        <f t="shared" si="14"/>
        <v>PA28</v>
      </c>
      <c r="F103" t="s">
        <v>266</v>
      </c>
      <c r="G103" t="s">
        <v>191</v>
      </c>
      <c r="H103" s="2" t="str">
        <f t="shared" si="15"/>
        <v>P1</v>
      </c>
      <c r="I103" t="s">
        <v>62</v>
      </c>
      <c r="J103" t="s">
        <v>161</v>
      </c>
      <c r="K103" s="4">
        <v>0.64097222222222217</v>
      </c>
      <c r="L103" s="4">
        <v>0.67013888888888884</v>
      </c>
      <c r="M103" s="11">
        <f t="shared" si="11"/>
        <v>2.9166666666666674E-2</v>
      </c>
      <c r="N103" s="11">
        <f t="shared" si="12"/>
        <v>0</v>
      </c>
      <c r="O103" s="11"/>
      <c r="P103" s="11"/>
      <c r="Q103" s="11"/>
      <c r="R103" s="11"/>
      <c r="S103" s="11"/>
      <c r="T103" s="11"/>
      <c r="V103" s="11"/>
      <c r="X103" s="11">
        <f t="shared" si="10"/>
        <v>2.9166666666666674E-2</v>
      </c>
    </row>
    <row r="104" spans="1:25" outlineLevel="1" x14ac:dyDescent="0.15">
      <c r="A104" s="3">
        <v>36626</v>
      </c>
      <c r="B104" s="3" t="str">
        <f>VLOOKUP(F104, Aircraft!A$2:C$99, 2, FALSE)</f>
        <v>PA28</v>
      </c>
      <c r="C104" t="str">
        <f>VLOOKUP(F104, Aircraft!A$2:C$99, 3, FALSE)</f>
        <v>S</v>
      </c>
      <c r="D104" t="str">
        <f t="shared" si="13"/>
        <v>S</v>
      </c>
      <c r="E104" t="str">
        <f t="shared" si="14"/>
        <v>PA28</v>
      </c>
      <c r="F104" t="s">
        <v>266</v>
      </c>
      <c r="G104" t="s">
        <v>191</v>
      </c>
      <c r="H104" s="2" t="str">
        <f t="shared" si="15"/>
        <v>P1</v>
      </c>
      <c r="I104" t="s">
        <v>161</v>
      </c>
      <c r="J104" t="s">
        <v>250</v>
      </c>
      <c r="K104" s="4">
        <v>0.69097222222222221</v>
      </c>
      <c r="L104" s="4">
        <v>0.74861111111111101</v>
      </c>
      <c r="M104" s="11">
        <f t="shared" si="11"/>
        <v>5.7638888888888795E-2</v>
      </c>
      <c r="N104" s="11">
        <f t="shared" si="12"/>
        <v>0</v>
      </c>
      <c r="O104" s="11"/>
      <c r="P104" s="11"/>
      <c r="Q104" s="11"/>
      <c r="R104" s="11"/>
      <c r="S104" s="11"/>
      <c r="T104" s="11"/>
      <c r="V104" s="11"/>
      <c r="X104" s="11">
        <f t="shared" si="10"/>
        <v>5.7638888888888795E-2</v>
      </c>
    </row>
    <row r="105" spans="1:25" outlineLevel="1" x14ac:dyDescent="0.15">
      <c r="A105" s="3">
        <v>36632</v>
      </c>
      <c r="B105" s="3" t="str">
        <f>VLOOKUP(F105, Aircraft!A$2:C$99, 2, FALSE)</f>
        <v>PA28</v>
      </c>
      <c r="C105" t="str">
        <f>VLOOKUP(F105, Aircraft!A$2:C$99, 3, FALSE)</f>
        <v>S</v>
      </c>
      <c r="D105" t="str">
        <f t="shared" si="13"/>
        <v>S</v>
      </c>
      <c r="E105" t="str">
        <f t="shared" si="14"/>
        <v>PA28</v>
      </c>
      <c r="F105" t="s">
        <v>187</v>
      </c>
      <c r="G105" t="s">
        <v>191</v>
      </c>
      <c r="H105" s="2" t="str">
        <f t="shared" si="15"/>
        <v>P1</v>
      </c>
      <c r="I105" t="s">
        <v>250</v>
      </c>
      <c r="J105" t="s">
        <v>250</v>
      </c>
      <c r="K105" s="4">
        <v>0.68402777777777779</v>
      </c>
      <c r="L105" s="4">
        <v>0.69930555555555562</v>
      </c>
      <c r="M105" s="11">
        <f t="shared" si="11"/>
        <v>1.5277777777777835E-2</v>
      </c>
      <c r="N105" s="11">
        <f t="shared" si="12"/>
        <v>0</v>
      </c>
      <c r="O105" s="11"/>
      <c r="P105" s="11"/>
      <c r="Q105" s="11"/>
      <c r="R105" s="11"/>
      <c r="S105" s="11"/>
      <c r="T105" s="11"/>
      <c r="V105" s="11"/>
      <c r="X105" s="11">
        <f t="shared" si="10"/>
        <v>1.5277777777777835E-2</v>
      </c>
      <c r="Y105" t="s">
        <v>301</v>
      </c>
    </row>
    <row r="106" spans="1:25" outlineLevel="1" x14ac:dyDescent="0.15">
      <c r="A106" s="3">
        <v>36633</v>
      </c>
      <c r="B106" s="3" t="str">
        <f>VLOOKUP(F106, Aircraft!A$2:C$99, 2, FALSE)</f>
        <v>PA28</v>
      </c>
      <c r="C106" t="str">
        <f>VLOOKUP(F106, Aircraft!A$2:C$99, 3, FALSE)</f>
        <v>S</v>
      </c>
      <c r="D106" t="str">
        <f t="shared" si="13"/>
        <v>S</v>
      </c>
      <c r="E106" t="str">
        <f t="shared" si="14"/>
        <v>PA28</v>
      </c>
      <c r="F106" t="s">
        <v>187</v>
      </c>
      <c r="G106" t="s">
        <v>204</v>
      </c>
      <c r="H106" s="2" t="str">
        <f t="shared" si="15"/>
        <v>PUT</v>
      </c>
      <c r="I106" t="s">
        <v>250</v>
      </c>
      <c r="J106" t="s">
        <v>250</v>
      </c>
      <c r="K106" s="4">
        <v>0.62152777777777779</v>
      </c>
      <c r="L106" s="4">
        <v>0.66666666666666663</v>
      </c>
      <c r="M106" s="11">
        <f t="shared" si="11"/>
        <v>0</v>
      </c>
      <c r="N106" s="11">
        <f t="shared" si="12"/>
        <v>4.513888888888884E-2</v>
      </c>
      <c r="O106" s="11"/>
      <c r="P106" s="11"/>
      <c r="Q106" s="11"/>
      <c r="R106" s="11"/>
      <c r="S106" s="11"/>
      <c r="T106" s="11"/>
      <c r="U106" s="27">
        <v>0.9</v>
      </c>
      <c r="V106" s="11"/>
      <c r="X106" s="11">
        <f t="shared" si="10"/>
        <v>4.513888888888884E-2</v>
      </c>
      <c r="Y106" t="s">
        <v>302</v>
      </c>
    </row>
    <row r="107" spans="1:25" outlineLevel="1" x14ac:dyDescent="0.15">
      <c r="A107" s="3">
        <v>36633</v>
      </c>
      <c r="B107" s="3" t="str">
        <f>VLOOKUP(F107, Aircraft!A$2:C$99, 2, FALSE)</f>
        <v>PA28</v>
      </c>
      <c r="C107" t="str">
        <f>VLOOKUP(F107, Aircraft!A$2:C$99, 3, FALSE)</f>
        <v>S</v>
      </c>
      <c r="D107" t="str">
        <f t="shared" si="13"/>
        <v>S</v>
      </c>
      <c r="E107" t="str">
        <f t="shared" si="14"/>
        <v>PA28</v>
      </c>
      <c r="F107" t="s">
        <v>187</v>
      </c>
      <c r="G107" t="s">
        <v>204</v>
      </c>
      <c r="H107" s="2" t="str">
        <f t="shared" si="15"/>
        <v>PUT</v>
      </c>
      <c r="I107" t="s">
        <v>250</v>
      </c>
      <c r="J107" t="s">
        <v>250</v>
      </c>
      <c r="K107" s="4">
        <v>0.67013888888888884</v>
      </c>
      <c r="L107" s="4">
        <v>0.71527777777777779</v>
      </c>
      <c r="M107" s="11">
        <f t="shared" si="11"/>
        <v>0</v>
      </c>
      <c r="N107" s="11">
        <f t="shared" si="12"/>
        <v>4.5138888888888951E-2</v>
      </c>
      <c r="O107" s="11"/>
      <c r="P107" s="11"/>
      <c r="Q107" s="11"/>
      <c r="R107" s="11"/>
      <c r="S107" s="11"/>
      <c r="T107" s="11"/>
      <c r="U107" s="27">
        <v>0.9</v>
      </c>
      <c r="V107" s="11"/>
      <c r="X107" s="11">
        <f t="shared" si="10"/>
        <v>4.5138888888888951E-2</v>
      </c>
      <c r="Y107" t="s">
        <v>303</v>
      </c>
    </row>
    <row r="108" spans="1:25" outlineLevel="1" x14ac:dyDescent="0.15">
      <c r="A108" s="3">
        <v>36633</v>
      </c>
      <c r="B108" s="3" t="str">
        <f>VLOOKUP(F108, Aircraft!A$2:C$99, 2, FALSE)</f>
        <v>PA28</v>
      </c>
      <c r="C108" t="str">
        <f>VLOOKUP(F108, Aircraft!A$2:C$99, 3, FALSE)</f>
        <v>S</v>
      </c>
      <c r="D108" t="str">
        <f t="shared" si="13"/>
        <v>S</v>
      </c>
      <c r="E108" t="str">
        <f t="shared" si="14"/>
        <v>PA28</v>
      </c>
      <c r="F108" t="s">
        <v>187</v>
      </c>
      <c r="G108" t="s">
        <v>204</v>
      </c>
      <c r="H108" s="2" t="str">
        <f t="shared" si="15"/>
        <v>PUT</v>
      </c>
      <c r="I108" t="s">
        <v>250</v>
      </c>
      <c r="J108" t="s">
        <v>250</v>
      </c>
      <c r="K108" s="4">
        <v>0.75</v>
      </c>
      <c r="L108" s="4">
        <v>0.78819444444444453</v>
      </c>
      <c r="M108" s="11">
        <f t="shared" si="11"/>
        <v>0</v>
      </c>
      <c r="N108" s="11">
        <f t="shared" si="12"/>
        <v>3.8194444444444531E-2</v>
      </c>
      <c r="O108" s="11"/>
      <c r="P108" s="11"/>
      <c r="Q108" s="11"/>
      <c r="R108" s="11"/>
      <c r="S108" s="11"/>
      <c r="T108" s="11"/>
      <c r="U108" s="27">
        <v>0.7</v>
      </c>
      <c r="V108" s="11"/>
      <c r="X108" s="11">
        <f t="shared" si="10"/>
        <v>3.8194444444444531E-2</v>
      </c>
      <c r="Y108" t="s">
        <v>304</v>
      </c>
    </row>
    <row r="109" spans="1:25" outlineLevel="1" x14ac:dyDescent="0.15">
      <c r="A109" s="3">
        <v>36634</v>
      </c>
      <c r="B109" s="3" t="str">
        <f>VLOOKUP(F109, Aircraft!A$2:C$99, 2, FALSE)</f>
        <v>PA28</v>
      </c>
      <c r="C109" t="str">
        <f>VLOOKUP(F109, Aircraft!A$2:C$99, 3, FALSE)</f>
        <v>S</v>
      </c>
      <c r="D109" t="str">
        <f t="shared" si="13"/>
        <v>S</v>
      </c>
      <c r="E109" t="str">
        <f t="shared" si="14"/>
        <v>PA28</v>
      </c>
      <c r="F109" t="s">
        <v>266</v>
      </c>
      <c r="G109" t="s">
        <v>204</v>
      </c>
      <c r="H109" s="2" t="str">
        <f t="shared" si="15"/>
        <v>PUT</v>
      </c>
      <c r="I109" t="s">
        <v>250</v>
      </c>
      <c r="J109" t="s">
        <v>250</v>
      </c>
      <c r="K109" s="4">
        <v>0.47569444444444442</v>
      </c>
      <c r="L109" s="4">
        <v>0.52430555555555558</v>
      </c>
      <c r="M109" s="11">
        <f t="shared" si="11"/>
        <v>0</v>
      </c>
      <c r="N109" s="11">
        <f t="shared" si="12"/>
        <v>4.861111111111116E-2</v>
      </c>
      <c r="O109" s="11"/>
      <c r="P109" s="11"/>
      <c r="Q109" s="11"/>
      <c r="R109" s="11"/>
      <c r="S109" s="11"/>
      <c r="T109" s="11"/>
      <c r="U109" s="27">
        <v>1.1000000000000001</v>
      </c>
      <c r="V109" s="11"/>
      <c r="X109" s="11">
        <f t="shared" si="10"/>
        <v>4.861111111111116E-2</v>
      </c>
      <c r="Y109" t="s">
        <v>176</v>
      </c>
    </row>
    <row r="110" spans="1:25" outlineLevel="1" x14ac:dyDescent="0.15">
      <c r="A110" s="3">
        <v>36634</v>
      </c>
      <c r="B110" s="3" t="str">
        <f>VLOOKUP(F110, Aircraft!A$2:C$99, 2, FALSE)</f>
        <v>PA28</v>
      </c>
      <c r="C110" t="str">
        <f>VLOOKUP(F110, Aircraft!A$2:C$99, 3, FALSE)</f>
        <v>S</v>
      </c>
      <c r="D110" t="str">
        <f t="shared" si="13"/>
        <v>S</v>
      </c>
      <c r="E110" t="str">
        <f t="shared" si="14"/>
        <v>PA28</v>
      </c>
      <c r="F110" t="s">
        <v>266</v>
      </c>
      <c r="G110" t="s">
        <v>204</v>
      </c>
      <c r="H110" s="2" t="str">
        <f t="shared" si="15"/>
        <v>PUT</v>
      </c>
      <c r="I110" t="s">
        <v>250</v>
      </c>
      <c r="J110" t="s">
        <v>250</v>
      </c>
      <c r="K110" s="4">
        <v>0.54861111111111105</v>
      </c>
      <c r="L110" s="4">
        <v>0.60416666666666663</v>
      </c>
      <c r="M110" s="11">
        <f t="shared" si="11"/>
        <v>0</v>
      </c>
      <c r="N110" s="11">
        <f t="shared" si="12"/>
        <v>5.555555555555558E-2</v>
      </c>
      <c r="O110" s="11"/>
      <c r="P110" s="11"/>
      <c r="Q110" s="11"/>
      <c r="R110" s="11"/>
      <c r="S110" s="11"/>
      <c r="T110" s="11"/>
      <c r="U110" s="27">
        <v>1.1000000000000001</v>
      </c>
      <c r="V110" s="11"/>
      <c r="X110" s="11">
        <f t="shared" si="10"/>
        <v>5.555555555555558E-2</v>
      </c>
      <c r="Y110" t="s">
        <v>480</v>
      </c>
    </row>
    <row r="111" spans="1:25" outlineLevel="1" x14ac:dyDescent="0.15">
      <c r="A111" s="3">
        <v>36634</v>
      </c>
      <c r="B111" s="3" t="str">
        <f>VLOOKUP(F111, Aircraft!A$2:C$99, 2, FALSE)</f>
        <v>PA28</v>
      </c>
      <c r="C111" t="str">
        <f>VLOOKUP(F111, Aircraft!A$2:C$99, 3, FALSE)</f>
        <v>S</v>
      </c>
      <c r="D111" t="str">
        <f t="shared" si="13"/>
        <v>S</v>
      </c>
      <c r="E111" t="str">
        <f t="shared" si="14"/>
        <v>PA28</v>
      </c>
      <c r="F111" t="s">
        <v>266</v>
      </c>
      <c r="G111" t="s">
        <v>204</v>
      </c>
      <c r="H111" s="2" t="str">
        <f t="shared" si="15"/>
        <v>PUT</v>
      </c>
      <c r="I111" t="s">
        <v>250</v>
      </c>
      <c r="J111" t="s">
        <v>250</v>
      </c>
      <c r="K111" s="4">
        <v>0.66666666666666663</v>
      </c>
      <c r="L111" s="4">
        <v>0.71527777777777779</v>
      </c>
      <c r="M111" s="11">
        <f t="shared" si="11"/>
        <v>0</v>
      </c>
      <c r="N111" s="11">
        <f t="shared" si="12"/>
        <v>4.861111111111116E-2</v>
      </c>
      <c r="O111" s="11"/>
      <c r="P111" s="11"/>
      <c r="Q111" s="11"/>
      <c r="R111" s="11"/>
      <c r="S111" s="11"/>
      <c r="T111" s="11"/>
      <c r="U111" s="27">
        <v>0.9</v>
      </c>
      <c r="V111" s="11"/>
      <c r="X111" s="11">
        <f t="shared" si="10"/>
        <v>4.861111111111116E-2</v>
      </c>
      <c r="Y111" t="s">
        <v>481</v>
      </c>
    </row>
    <row r="112" spans="1:25" outlineLevel="1" x14ac:dyDescent="0.15">
      <c r="A112" s="3">
        <v>36635</v>
      </c>
      <c r="B112" s="3" t="str">
        <f>VLOOKUP(F112, Aircraft!A$2:C$99, 2, FALSE)</f>
        <v>PA28</v>
      </c>
      <c r="C112" t="str">
        <f>VLOOKUP(F112, Aircraft!A$2:C$99, 3, FALSE)</f>
        <v>S</v>
      </c>
      <c r="D112" t="str">
        <f t="shared" si="13"/>
        <v>S</v>
      </c>
      <c r="E112" t="str">
        <f t="shared" si="14"/>
        <v>PA28</v>
      </c>
      <c r="F112" t="s">
        <v>266</v>
      </c>
      <c r="G112" t="s">
        <v>133</v>
      </c>
      <c r="H112" s="2" t="str">
        <f t="shared" si="15"/>
        <v>PUT</v>
      </c>
      <c r="I112" t="s">
        <v>250</v>
      </c>
      <c r="J112" t="s">
        <v>76</v>
      </c>
      <c r="K112" s="4">
        <v>0.43055555555555558</v>
      </c>
      <c r="L112" s="4">
        <v>0.45833333333333331</v>
      </c>
      <c r="M112" s="11">
        <f t="shared" si="11"/>
        <v>0</v>
      </c>
      <c r="N112" s="11">
        <f t="shared" si="12"/>
        <v>2.7777777777777735E-2</v>
      </c>
      <c r="O112" s="11"/>
      <c r="P112" s="11"/>
      <c r="Q112" s="11"/>
      <c r="R112" s="11"/>
      <c r="S112" s="11"/>
      <c r="T112" s="11"/>
      <c r="U112" s="27">
        <v>0.4</v>
      </c>
      <c r="V112" s="11"/>
      <c r="X112" s="11">
        <f t="shared" si="10"/>
        <v>2.7777777777777735E-2</v>
      </c>
      <c r="Y112" t="s">
        <v>176</v>
      </c>
    </row>
    <row r="113" spans="1:25" outlineLevel="1" x14ac:dyDescent="0.15">
      <c r="A113" s="3">
        <v>36635</v>
      </c>
      <c r="B113" s="3" t="str">
        <f>VLOOKUP(F113, Aircraft!A$2:C$99, 2, FALSE)</f>
        <v>PA28</v>
      </c>
      <c r="C113" t="str">
        <f>VLOOKUP(F113, Aircraft!A$2:C$99, 3, FALSE)</f>
        <v>S</v>
      </c>
      <c r="D113" t="str">
        <f t="shared" si="13"/>
        <v>S</v>
      </c>
      <c r="E113" t="str">
        <f t="shared" si="14"/>
        <v>PA28</v>
      </c>
      <c r="F113" t="s">
        <v>266</v>
      </c>
      <c r="G113" t="s">
        <v>133</v>
      </c>
      <c r="H113" s="2" t="str">
        <f t="shared" si="15"/>
        <v>PUT</v>
      </c>
      <c r="I113" t="s">
        <v>148</v>
      </c>
      <c r="J113" t="s">
        <v>250</v>
      </c>
      <c r="K113" s="4">
        <v>0.50347222222222221</v>
      </c>
      <c r="L113" s="4">
        <v>0.56597222222222221</v>
      </c>
      <c r="M113" s="11">
        <f t="shared" si="11"/>
        <v>0</v>
      </c>
      <c r="N113" s="11">
        <f t="shared" si="12"/>
        <v>6.25E-2</v>
      </c>
      <c r="O113" s="11"/>
      <c r="P113" s="11"/>
      <c r="Q113" s="11"/>
      <c r="R113" s="11"/>
      <c r="S113" s="11"/>
      <c r="T113" s="11"/>
      <c r="U113" s="27">
        <v>1.3</v>
      </c>
      <c r="V113" s="11"/>
      <c r="X113" s="11">
        <f t="shared" si="10"/>
        <v>6.25E-2</v>
      </c>
      <c r="Y113" t="s">
        <v>482</v>
      </c>
    </row>
    <row r="114" spans="1:25" outlineLevel="1" x14ac:dyDescent="0.15">
      <c r="A114" s="3">
        <v>36635</v>
      </c>
      <c r="B114" s="3" t="str">
        <f>VLOOKUP(F114, Aircraft!A$2:C$99, 2, FALSE)</f>
        <v>PA28</v>
      </c>
      <c r="C114" t="str">
        <f>VLOOKUP(F114, Aircraft!A$2:C$99, 3, FALSE)</f>
        <v>S</v>
      </c>
      <c r="D114" t="str">
        <f t="shared" si="13"/>
        <v>S</v>
      </c>
      <c r="E114" t="str">
        <f t="shared" si="14"/>
        <v>PA28</v>
      </c>
      <c r="F114" t="s">
        <v>266</v>
      </c>
      <c r="G114" t="s">
        <v>191</v>
      </c>
      <c r="H114" s="2" t="str">
        <f t="shared" si="15"/>
        <v>P1</v>
      </c>
      <c r="I114" t="s">
        <v>250</v>
      </c>
      <c r="J114" t="s">
        <v>2</v>
      </c>
      <c r="K114" s="4">
        <v>0.59027777777777779</v>
      </c>
      <c r="L114" s="4">
        <v>0.61805555555555558</v>
      </c>
      <c r="M114" s="11">
        <f t="shared" si="11"/>
        <v>2.777777777777779E-2</v>
      </c>
      <c r="N114" s="11">
        <f t="shared" si="12"/>
        <v>0</v>
      </c>
      <c r="O114" s="11"/>
      <c r="P114" s="11"/>
      <c r="Q114" s="11"/>
      <c r="R114" s="11"/>
      <c r="S114" s="11"/>
      <c r="T114" s="11"/>
      <c r="V114" s="11"/>
      <c r="X114" s="11">
        <f t="shared" si="10"/>
        <v>2.777777777777779E-2</v>
      </c>
    </row>
    <row r="115" spans="1:25" outlineLevel="1" x14ac:dyDescent="0.15">
      <c r="A115" s="3">
        <v>36635</v>
      </c>
      <c r="B115" s="3" t="str">
        <f>VLOOKUP(F115, Aircraft!A$2:C$99, 2, FALSE)</f>
        <v>PA28</v>
      </c>
      <c r="C115" t="str">
        <f>VLOOKUP(F115, Aircraft!A$2:C$99, 3, FALSE)</f>
        <v>S</v>
      </c>
      <c r="D115" t="str">
        <f t="shared" si="13"/>
        <v>S</v>
      </c>
      <c r="E115" t="str">
        <f t="shared" si="14"/>
        <v>PA28</v>
      </c>
      <c r="F115" t="s">
        <v>266</v>
      </c>
      <c r="G115" t="s">
        <v>191</v>
      </c>
      <c r="H115" s="2" t="str">
        <f t="shared" si="15"/>
        <v>P1</v>
      </c>
      <c r="I115" t="s">
        <v>2</v>
      </c>
      <c r="J115" t="s">
        <v>250</v>
      </c>
      <c r="K115" s="4">
        <v>0.62847222222222221</v>
      </c>
      <c r="L115" s="4">
        <v>0.65277777777777779</v>
      </c>
      <c r="M115" s="11">
        <f t="shared" si="11"/>
        <v>2.430555555555558E-2</v>
      </c>
      <c r="N115" s="11">
        <f t="shared" si="12"/>
        <v>0</v>
      </c>
      <c r="O115" s="11"/>
      <c r="P115" s="11"/>
      <c r="Q115" s="11"/>
      <c r="R115" s="11"/>
      <c r="S115" s="11"/>
      <c r="T115" s="11"/>
      <c r="V115" s="11"/>
      <c r="X115" s="11">
        <f t="shared" si="10"/>
        <v>2.430555555555558E-2</v>
      </c>
    </row>
    <row r="116" spans="1:25" outlineLevel="1" x14ac:dyDescent="0.15">
      <c r="A116" s="3">
        <v>36635</v>
      </c>
      <c r="B116" s="3" t="str">
        <f>VLOOKUP(F116, Aircraft!A$2:C$99, 2, FALSE)</f>
        <v>PA28</v>
      </c>
      <c r="C116" t="str">
        <f>VLOOKUP(F116, Aircraft!A$2:C$99, 3, FALSE)</f>
        <v>S</v>
      </c>
      <c r="D116" t="str">
        <f t="shared" si="13"/>
        <v>S</v>
      </c>
      <c r="E116" t="str">
        <f t="shared" si="14"/>
        <v>PA28</v>
      </c>
      <c r="F116" t="s">
        <v>266</v>
      </c>
      <c r="G116" t="s">
        <v>133</v>
      </c>
      <c r="H116" s="2" t="str">
        <f t="shared" si="15"/>
        <v>PUT</v>
      </c>
      <c r="I116" t="s">
        <v>250</v>
      </c>
      <c r="J116" t="s">
        <v>250</v>
      </c>
      <c r="K116" s="4">
        <v>0.72569444444444453</v>
      </c>
      <c r="L116" s="4">
        <v>0.77777777777777779</v>
      </c>
      <c r="M116" s="11">
        <f t="shared" si="11"/>
        <v>0</v>
      </c>
      <c r="N116" s="11">
        <f t="shared" si="12"/>
        <v>5.2083333333333259E-2</v>
      </c>
      <c r="O116" s="11"/>
      <c r="P116" s="11"/>
      <c r="Q116" s="11"/>
      <c r="R116" s="11"/>
      <c r="S116" s="11"/>
      <c r="T116" s="11"/>
      <c r="U116" s="27">
        <v>1</v>
      </c>
      <c r="V116" s="11"/>
      <c r="X116" s="11">
        <f t="shared" si="10"/>
        <v>5.2083333333333259E-2</v>
      </c>
      <c r="Y116" t="s">
        <v>483</v>
      </c>
    </row>
    <row r="117" spans="1:25" outlineLevel="1" x14ac:dyDescent="0.15">
      <c r="A117" s="3">
        <v>36645</v>
      </c>
      <c r="B117" s="3" t="str">
        <f>VLOOKUP(F117, Aircraft!A$2:C$99, 2, FALSE)</f>
        <v>PA28</v>
      </c>
      <c r="C117" t="str">
        <f>VLOOKUP(F117, Aircraft!A$2:C$99, 3, FALSE)</f>
        <v>S</v>
      </c>
      <c r="D117" t="str">
        <f t="shared" si="13"/>
        <v>S</v>
      </c>
      <c r="E117" t="str">
        <f t="shared" si="14"/>
        <v>PA28</v>
      </c>
      <c r="F117" t="s">
        <v>267</v>
      </c>
      <c r="G117" t="s">
        <v>191</v>
      </c>
      <c r="H117" s="2" t="str">
        <f t="shared" si="15"/>
        <v>P1</v>
      </c>
      <c r="I117" t="s">
        <v>250</v>
      </c>
      <c r="J117" t="s">
        <v>16</v>
      </c>
      <c r="K117" s="4">
        <v>0.57638888888888895</v>
      </c>
      <c r="L117" s="4">
        <v>0.625</v>
      </c>
      <c r="M117" s="11">
        <f t="shared" si="11"/>
        <v>4.8611111111111049E-2</v>
      </c>
      <c r="N117" s="11">
        <f t="shared" si="12"/>
        <v>0</v>
      </c>
      <c r="O117" s="11"/>
      <c r="P117" s="11"/>
      <c r="Q117" s="11"/>
      <c r="R117" s="11"/>
      <c r="S117" s="11"/>
      <c r="T117" s="11"/>
      <c r="V117" s="11"/>
      <c r="X117" s="11">
        <f t="shared" si="10"/>
        <v>4.8611111111111049E-2</v>
      </c>
      <c r="Y117" t="s">
        <v>484</v>
      </c>
    </row>
    <row r="118" spans="1:25" outlineLevel="1" x14ac:dyDescent="0.15">
      <c r="A118" s="3">
        <v>36645</v>
      </c>
      <c r="B118" s="3" t="str">
        <f>VLOOKUP(F118, Aircraft!A$2:C$99, 2, FALSE)</f>
        <v>PA28</v>
      </c>
      <c r="C118" t="str">
        <f>VLOOKUP(F118, Aircraft!A$2:C$99, 3, FALSE)</f>
        <v>S</v>
      </c>
      <c r="D118" t="str">
        <f t="shared" si="13"/>
        <v>S</v>
      </c>
      <c r="E118" t="str">
        <f t="shared" si="14"/>
        <v>PA28</v>
      </c>
      <c r="F118" t="s">
        <v>267</v>
      </c>
      <c r="G118" t="s">
        <v>191</v>
      </c>
      <c r="H118" s="2" t="str">
        <f t="shared" si="15"/>
        <v>P1</v>
      </c>
      <c r="I118" t="s">
        <v>16</v>
      </c>
      <c r="J118" t="s">
        <v>250</v>
      </c>
      <c r="K118" s="4">
        <v>0.65972222222222221</v>
      </c>
      <c r="L118" s="4">
        <v>0.69791666666666663</v>
      </c>
      <c r="M118" s="11">
        <f t="shared" si="11"/>
        <v>3.819444444444442E-2</v>
      </c>
      <c r="N118" s="11">
        <f t="shared" si="12"/>
        <v>0</v>
      </c>
      <c r="O118" s="11"/>
      <c r="P118" s="11"/>
      <c r="Q118" s="11"/>
      <c r="R118" s="11"/>
      <c r="S118" s="11"/>
      <c r="T118" s="11"/>
      <c r="V118" s="11"/>
      <c r="X118" s="11">
        <f t="shared" si="10"/>
        <v>3.819444444444442E-2</v>
      </c>
    </row>
    <row r="119" spans="1:25" outlineLevel="1" x14ac:dyDescent="0.15">
      <c r="A119" s="3">
        <v>36646</v>
      </c>
      <c r="B119" s="3" t="str">
        <f>VLOOKUP(F119, Aircraft!A$2:C$99, 2, FALSE)</f>
        <v>PA28</v>
      </c>
      <c r="C119" t="str">
        <f>VLOOKUP(F119, Aircraft!A$2:C$99, 3, FALSE)</f>
        <v>S</v>
      </c>
      <c r="D119" t="str">
        <f t="shared" si="13"/>
        <v>S</v>
      </c>
      <c r="E119" t="str">
        <f t="shared" si="14"/>
        <v>PA28</v>
      </c>
      <c r="F119" t="s">
        <v>267</v>
      </c>
      <c r="G119" t="s">
        <v>191</v>
      </c>
      <c r="H119" s="2" t="str">
        <f t="shared" si="15"/>
        <v>P1</v>
      </c>
      <c r="I119" t="s">
        <v>250</v>
      </c>
      <c r="J119" t="s">
        <v>66</v>
      </c>
      <c r="K119" s="4">
        <v>0.4548611111111111</v>
      </c>
      <c r="L119" s="4">
        <v>0.49652777777777773</v>
      </c>
      <c r="M119" s="11">
        <f t="shared" si="11"/>
        <v>4.166666666666663E-2</v>
      </c>
      <c r="N119" s="11">
        <f t="shared" si="12"/>
        <v>0</v>
      </c>
      <c r="O119" s="11"/>
      <c r="P119" s="11"/>
      <c r="Q119" s="11"/>
      <c r="R119" s="11"/>
      <c r="S119" s="11"/>
      <c r="T119" s="11"/>
      <c r="V119" s="11"/>
      <c r="X119" s="11">
        <f t="shared" si="10"/>
        <v>4.166666666666663E-2</v>
      </c>
    </row>
    <row r="120" spans="1:25" outlineLevel="1" x14ac:dyDescent="0.15">
      <c r="A120" s="3">
        <v>36646</v>
      </c>
      <c r="B120" s="3" t="str">
        <f>VLOOKUP(F120, Aircraft!A$2:C$99, 2, FALSE)</f>
        <v>PA28</v>
      </c>
      <c r="C120" t="str">
        <f>VLOOKUP(F120, Aircraft!A$2:C$99, 3, FALSE)</f>
        <v>S</v>
      </c>
      <c r="D120" t="str">
        <f t="shared" si="13"/>
        <v>S</v>
      </c>
      <c r="E120" t="str">
        <f t="shared" si="14"/>
        <v>PA28</v>
      </c>
      <c r="F120" t="s">
        <v>267</v>
      </c>
      <c r="G120" t="s">
        <v>191</v>
      </c>
      <c r="H120" s="2" t="str">
        <f t="shared" si="15"/>
        <v>P1</v>
      </c>
      <c r="I120" t="s">
        <v>66</v>
      </c>
      <c r="J120" t="s">
        <v>250</v>
      </c>
      <c r="K120" s="4">
        <v>0.51736111111111105</v>
      </c>
      <c r="L120" s="4">
        <v>0.55208333333333337</v>
      </c>
      <c r="M120" s="11">
        <f t="shared" si="11"/>
        <v>3.4722222222222321E-2</v>
      </c>
      <c r="N120" s="11">
        <f t="shared" si="12"/>
        <v>0</v>
      </c>
      <c r="O120" s="11"/>
      <c r="P120" s="11"/>
      <c r="Q120" s="11"/>
      <c r="R120" s="11"/>
      <c r="S120" s="11"/>
      <c r="T120" s="11"/>
      <c r="V120" s="11"/>
      <c r="X120" s="11">
        <f t="shared" si="10"/>
        <v>3.4722222222222321E-2</v>
      </c>
    </row>
    <row r="121" spans="1:25" outlineLevel="1" x14ac:dyDescent="0.15">
      <c r="A121" s="3">
        <v>36647</v>
      </c>
      <c r="B121" s="3" t="str">
        <f>VLOOKUP(F121, Aircraft!A$2:C$99, 2, FALSE)</f>
        <v>PA28</v>
      </c>
      <c r="C121" t="str">
        <f>VLOOKUP(F121, Aircraft!A$2:C$99, 3, FALSE)</f>
        <v>S</v>
      </c>
      <c r="D121" t="str">
        <f t="shared" si="13"/>
        <v>S</v>
      </c>
      <c r="E121" t="str">
        <f t="shared" si="14"/>
        <v>PA28</v>
      </c>
      <c r="F121" t="s">
        <v>266</v>
      </c>
      <c r="G121" t="s">
        <v>204</v>
      </c>
      <c r="H121" s="2" t="str">
        <f t="shared" si="15"/>
        <v>PUT</v>
      </c>
      <c r="I121" t="s">
        <v>250</v>
      </c>
      <c r="J121" t="s">
        <v>250</v>
      </c>
      <c r="K121" s="4">
        <v>0.40625</v>
      </c>
      <c r="L121" s="4">
        <v>0.44444444444444442</v>
      </c>
      <c r="M121" s="11">
        <f t="shared" si="11"/>
        <v>0</v>
      </c>
      <c r="N121" s="11">
        <f t="shared" si="12"/>
        <v>3.819444444444442E-2</v>
      </c>
      <c r="O121" s="11"/>
      <c r="P121" s="11"/>
      <c r="Q121" s="11"/>
      <c r="R121" s="11"/>
      <c r="S121" s="11"/>
      <c r="T121" s="11"/>
      <c r="U121" s="27">
        <v>0.7</v>
      </c>
      <c r="V121" s="11"/>
      <c r="X121" s="11">
        <f t="shared" si="10"/>
        <v>3.819444444444442E-2</v>
      </c>
      <c r="Y121" t="s">
        <v>485</v>
      </c>
    </row>
    <row r="122" spans="1:25" outlineLevel="1" x14ac:dyDescent="0.15">
      <c r="A122" s="3">
        <v>36647</v>
      </c>
      <c r="B122" s="3" t="str">
        <f>VLOOKUP(F122, Aircraft!A$2:C$99, 2, FALSE)</f>
        <v>PA28</v>
      </c>
      <c r="C122" t="str">
        <f>VLOOKUP(F122, Aircraft!A$2:C$99, 3, FALSE)</f>
        <v>S</v>
      </c>
      <c r="D122" t="str">
        <f t="shared" si="13"/>
        <v>S</v>
      </c>
      <c r="E122" t="str">
        <f t="shared" si="14"/>
        <v>PA28</v>
      </c>
      <c r="F122" t="s">
        <v>132</v>
      </c>
      <c r="G122" t="s">
        <v>204</v>
      </c>
      <c r="H122" s="2" t="str">
        <f t="shared" si="15"/>
        <v>PUT</v>
      </c>
      <c r="I122" t="s">
        <v>250</v>
      </c>
      <c r="J122" t="s">
        <v>73</v>
      </c>
      <c r="K122" s="4">
        <v>0.51041666666666663</v>
      </c>
      <c r="L122" s="4">
        <v>0.59375</v>
      </c>
      <c r="M122" s="11">
        <f t="shared" si="11"/>
        <v>0</v>
      </c>
      <c r="N122" s="11">
        <f t="shared" si="12"/>
        <v>8.333333333333337E-2</v>
      </c>
      <c r="O122" s="11"/>
      <c r="P122" s="11"/>
      <c r="Q122" s="11"/>
      <c r="R122" s="11"/>
      <c r="S122" s="11"/>
      <c r="T122" s="11"/>
      <c r="U122" s="27">
        <v>1.8</v>
      </c>
      <c r="V122" s="11"/>
      <c r="X122" s="11">
        <f t="shared" si="10"/>
        <v>8.333333333333337E-2</v>
      </c>
      <c r="Y122" t="s">
        <v>488</v>
      </c>
    </row>
    <row r="123" spans="1:25" outlineLevel="1" x14ac:dyDescent="0.15">
      <c r="A123" s="3">
        <v>36647</v>
      </c>
      <c r="B123" s="3" t="str">
        <f>VLOOKUP(F123, Aircraft!A$2:C$99, 2, FALSE)</f>
        <v>PA28</v>
      </c>
      <c r="C123" t="str">
        <f>VLOOKUP(F123, Aircraft!A$2:C$99, 3, FALSE)</f>
        <v>S</v>
      </c>
      <c r="D123" t="str">
        <f t="shared" si="13"/>
        <v>S</v>
      </c>
      <c r="E123" t="str">
        <f t="shared" si="14"/>
        <v>PA28</v>
      </c>
      <c r="F123" t="s">
        <v>132</v>
      </c>
      <c r="G123" t="s">
        <v>204</v>
      </c>
      <c r="H123" s="2" t="str">
        <f t="shared" si="15"/>
        <v>PUT</v>
      </c>
      <c r="I123" t="s">
        <v>11</v>
      </c>
      <c r="J123" t="s">
        <v>250</v>
      </c>
      <c r="K123" s="4">
        <v>0.67013888888888884</v>
      </c>
      <c r="L123" s="4">
        <v>0.71180555555555547</v>
      </c>
      <c r="M123" s="11">
        <f t="shared" si="11"/>
        <v>0</v>
      </c>
      <c r="N123" s="11">
        <f t="shared" si="12"/>
        <v>4.166666666666663E-2</v>
      </c>
      <c r="O123" s="11"/>
      <c r="P123" s="11"/>
      <c r="Q123" s="11"/>
      <c r="R123" s="11"/>
      <c r="S123" s="11"/>
      <c r="T123" s="11"/>
      <c r="V123" s="11"/>
      <c r="X123" s="11">
        <f t="shared" si="10"/>
        <v>4.166666666666663E-2</v>
      </c>
      <c r="Y123" t="s">
        <v>486</v>
      </c>
    </row>
    <row r="124" spans="1:25" outlineLevel="1" x14ac:dyDescent="0.15">
      <c r="A124" s="3">
        <v>36648</v>
      </c>
      <c r="B124" s="3" t="str">
        <f>VLOOKUP(F124, Aircraft!A$2:C$99, 2, FALSE)</f>
        <v>PA28</v>
      </c>
      <c r="C124" t="str">
        <f>VLOOKUP(F124, Aircraft!A$2:C$99, 3, FALSE)</f>
        <v>S</v>
      </c>
      <c r="D124" t="str">
        <f t="shared" si="13"/>
        <v>S</v>
      </c>
      <c r="E124" t="str">
        <f t="shared" si="14"/>
        <v>PA28</v>
      </c>
      <c r="F124" t="s">
        <v>132</v>
      </c>
      <c r="G124" t="s">
        <v>191</v>
      </c>
      <c r="H124" s="2" t="str">
        <f t="shared" si="15"/>
        <v>P1</v>
      </c>
      <c r="I124" t="s">
        <v>250</v>
      </c>
      <c r="J124" t="s">
        <v>250</v>
      </c>
      <c r="K124" s="4">
        <v>0.39374999999999999</v>
      </c>
      <c r="L124" s="4">
        <v>0.42708333333333331</v>
      </c>
      <c r="M124" s="11">
        <f t="shared" si="11"/>
        <v>3.3333333333333326E-2</v>
      </c>
      <c r="N124" s="11">
        <f t="shared" si="12"/>
        <v>0</v>
      </c>
      <c r="O124" s="11"/>
      <c r="P124" s="11"/>
      <c r="Q124" s="11"/>
      <c r="R124" s="11"/>
      <c r="S124" s="11"/>
      <c r="T124" s="11"/>
      <c r="V124" s="11"/>
      <c r="X124" s="11">
        <f t="shared" si="10"/>
        <v>3.3333333333333326E-2</v>
      </c>
      <c r="Y124" t="s">
        <v>487</v>
      </c>
    </row>
    <row r="125" spans="1:25" outlineLevel="1" x14ac:dyDescent="0.15">
      <c r="A125" s="3">
        <v>36648</v>
      </c>
      <c r="B125" s="3" t="str">
        <f>VLOOKUP(F125, Aircraft!A$2:C$99, 2, FALSE)</f>
        <v>PA28</v>
      </c>
      <c r="C125" t="str">
        <f>VLOOKUP(F125, Aircraft!A$2:C$99, 3, FALSE)</f>
        <v>S</v>
      </c>
      <c r="D125" t="str">
        <f t="shared" si="13"/>
        <v>S</v>
      </c>
      <c r="E125" t="str">
        <f t="shared" si="14"/>
        <v>PA28</v>
      </c>
      <c r="F125" t="s">
        <v>132</v>
      </c>
      <c r="G125" t="s">
        <v>204</v>
      </c>
      <c r="H125" s="2" t="str">
        <f t="shared" si="15"/>
        <v>PUT</v>
      </c>
      <c r="I125" t="s">
        <v>250</v>
      </c>
      <c r="J125" t="s">
        <v>250</v>
      </c>
      <c r="K125" s="4">
        <v>0.47916666666666669</v>
      </c>
      <c r="L125" s="4">
        <v>0.52777777777777779</v>
      </c>
      <c r="M125" s="11">
        <f t="shared" si="11"/>
        <v>0</v>
      </c>
      <c r="N125" s="11">
        <f t="shared" si="12"/>
        <v>4.8611111111111105E-2</v>
      </c>
      <c r="O125" s="11"/>
      <c r="P125" s="11"/>
      <c r="Q125" s="11"/>
      <c r="R125" s="11"/>
      <c r="S125" s="11"/>
      <c r="T125" s="11"/>
      <c r="U125" s="27">
        <v>1</v>
      </c>
      <c r="V125" s="11"/>
      <c r="X125" s="11">
        <f t="shared" si="10"/>
        <v>4.8611111111111105E-2</v>
      </c>
      <c r="Y125" t="s">
        <v>489</v>
      </c>
    </row>
    <row r="126" spans="1:25" outlineLevel="1" x14ac:dyDescent="0.15">
      <c r="A126" s="3">
        <v>36694</v>
      </c>
      <c r="B126" s="3" t="str">
        <f>VLOOKUP(F126, Aircraft!A$2:C$99, 2, FALSE)</f>
        <v>PA28</v>
      </c>
      <c r="C126" t="str">
        <f>VLOOKUP(F126, Aircraft!A$2:C$99, 3, FALSE)</f>
        <v>S</v>
      </c>
      <c r="D126" t="str">
        <f t="shared" si="13"/>
        <v>S</v>
      </c>
      <c r="E126" t="str">
        <f t="shared" si="14"/>
        <v>PA28</v>
      </c>
      <c r="F126" t="s">
        <v>493</v>
      </c>
      <c r="G126" t="s">
        <v>191</v>
      </c>
      <c r="H126" s="2" t="str">
        <f t="shared" si="15"/>
        <v>P1</v>
      </c>
      <c r="I126" t="s">
        <v>250</v>
      </c>
      <c r="J126" t="s">
        <v>250</v>
      </c>
      <c r="K126" s="4">
        <v>0.39374999999999999</v>
      </c>
      <c r="L126" s="4">
        <v>0.45277777777777778</v>
      </c>
      <c r="M126" s="11">
        <f>IF(AND(H126="P1", D126="S"), L126-K126, 0)</f>
        <v>5.902777777777779E-2</v>
      </c>
      <c r="N126" s="11">
        <f>IF(AND(H126="PUT", D126="S"), L126-K126, 0)</f>
        <v>0</v>
      </c>
      <c r="O126" s="11"/>
      <c r="P126" s="11"/>
      <c r="Q126" s="11"/>
      <c r="R126" s="11"/>
      <c r="S126" s="11"/>
      <c r="T126" s="11"/>
      <c r="V126" s="11"/>
      <c r="X126" s="11">
        <f t="shared" si="10"/>
        <v>5.902777777777779E-2</v>
      </c>
      <c r="Y126" t="s">
        <v>334</v>
      </c>
    </row>
    <row r="127" spans="1:25" outlineLevel="1" x14ac:dyDescent="0.15">
      <c r="A127" s="3">
        <v>36694</v>
      </c>
      <c r="B127" s="3" t="str">
        <f>VLOOKUP(F127, Aircraft!A$2:C$99, 2, FALSE)</f>
        <v>PA28-235</v>
      </c>
      <c r="C127" t="str">
        <f>VLOOKUP(F127, Aircraft!A$2:C$99, 3, FALSE)</f>
        <v>S</v>
      </c>
      <c r="D127" t="str">
        <f t="shared" si="13"/>
        <v>S</v>
      </c>
      <c r="E127" t="str">
        <f t="shared" si="14"/>
        <v>PA28-235</v>
      </c>
      <c r="F127" t="s">
        <v>490</v>
      </c>
      <c r="G127" t="s">
        <v>204</v>
      </c>
      <c r="H127" s="2" t="str">
        <f t="shared" si="15"/>
        <v>PUT</v>
      </c>
      <c r="I127" t="s">
        <v>250</v>
      </c>
      <c r="J127" t="s">
        <v>250</v>
      </c>
      <c r="K127" s="4">
        <v>0.55555555555555558</v>
      </c>
      <c r="L127" s="4">
        <v>0.61458333333333337</v>
      </c>
      <c r="M127" s="11">
        <f t="shared" si="11"/>
        <v>0</v>
      </c>
      <c r="N127" s="11">
        <f t="shared" si="12"/>
        <v>5.902777777777779E-2</v>
      </c>
      <c r="O127" s="11"/>
      <c r="P127" s="11"/>
      <c r="Q127" s="11"/>
      <c r="R127" s="11"/>
      <c r="S127" s="11"/>
      <c r="T127" s="11"/>
      <c r="U127" s="27">
        <v>0.7</v>
      </c>
      <c r="V127" s="11"/>
      <c r="X127" s="11">
        <f t="shared" si="10"/>
        <v>5.902777777777779E-2</v>
      </c>
      <c r="Y127" t="s">
        <v>335</v>
      </c>
    </row>
    <row r="128" spans="1:25" outlineLevel="1" x14ac:dyDescent="0.15">
      <c r="A128" s="3">
        <v>36708</v>
      </c>
      <c r="B128" s="3" t="str">
        <f>VLOOKUP(F128, Aircraft!A$2:C$99, 2, FALSE)</f>
        <v>PA28-235</v>
      </c>
      <c r="C128" t="str">
        <f>VLOOKUP(F128, Aircraft!A$2:C$99, 3, FALSE)</f>
        <v>S</v>
      </c>
      <c r="D128" t="str">
        <f t="shared" si="13"/>
        <v>S</v>
      </c>
      <c r="E128" t="str">
        <f t="shared" si="14"/>
        <v>PA28-235</v>
      </c>
      <c r="F128" t="s">
        <v>490</v>
      </c>
      <c r="G128" t="s">
        <v>204</v>
      </c>
      <c r="H128" s="2" t="str">
        <f t="shared" si="15"/>
        <v>PUT</v>
      </c>
      <c r="I128" t="s">
        <v>250</v>
      </c>
      <c r="J128" t="s">
        <v>250</v>
      </c>
      <c r="K128" s="4">
        <v>0.63194444444444442</v>
      </c>
      <c r="L128" s="4">
        <v>0.68055555555555547</v>
      </c>
      <c r="M128" s="11">
        <f t="shared" si="11"/>
        <v>0</v>
      </c>
      <c r="N128" s="11">
        <f t="shared" si="12"/>
        <v>4.8611111111111049E-2</v>
      </c>
      <c r="O128" s="11"/>
      <c r="P128" s="11"/>
      <c r="Q128" s="11"/>
      <c r="R128" s="11"/>
      <c r="S128" s="11"/>
      <c r="T128" s="11"/>
      <c r="U128" s="27">
        <v>0.9</v>
      </c>
      <c r="V128" s="11"/>
      <c r="X128" s="11">
        <f t="shared" si="10"/>
        <v>4.8611111111111049E-2</v>
      </c>
      <c r="Y128" t="s">
        <v>336</v>
      </c>
    </row>
    <row r="129" spans="1:25" outlineLevel="1" x14ac:dyDescent="0.15">
      <c r="A129" s="3">
        <v>36709</v>
      </c>
      <c r="B129" s="3" t="str">
        <f>VLOOKUP(F129, Aircraft!A$2:C$99, 2, FALSE)</f>
        <v>PA28-235</v>
      </c>
      <c r="C129" t="str">
        <f>VLOOKUP(F129, Aircraft!A$2:C$99, 3, FALSE)</f>
        <v>S</v>
      </c>
      <c r="D129" t="str">
        <f t="shared" si="13"/>
        <v>S</v>
      </c>
      <c r="E129" t="str">
        <f t="shared" si="14"/>
        <v>PA28-235</v>
      </c>
      <c r="F129" t="s">
        <v>490</v>
      </c>
      <c r="G129" t="s">
        <v>191</v>
      </c>
      <c r="H129" s="2" t="str">
        <f t="shared" si="15"/>
        <v>P1</v>
      </c>
      <c r="I129" t="s">
        <v>250</v>
      </c>
      <c r="J129" t="s">
        <v>250</v>
      </c>
      <c r="K129" s="4">
        <v>0.51388888888888895</v>
      </c>
      <c r="L129" s="4">
        <v>0.53472222222222221</v>
      </c>
      <c r="M129" s="11">
        <f t="shared" si="11"/>
        <v>2.0833333333333259E-2</v>
      </c>
      <c r="N129" s="11">
        <f t="shared" si="12"/>
        <v>0</v>
      </c>
      <c r="O129" s="11"/>
      <c r="P129" s="11"/>
      <c r="Q129" s="11"/>
      <c r="R129" s="11"/>
      <c r="S129" s="11"/>
      <c r="T129" s="11"/>
      <c r="V129" s="11"/>
      <c r="X129" s="11">
        <f t="shared" si="10"/>
        <v>2.0833333333333259E-2</v>
      </c>
      <c r="Y129" t="s">
        <v>205</v>
      </c>
    </row>
    <row r="130" spans="1:25" outlineLevel="1" x14ac:dyDescent="0.15">
      <c r="A130" s="3">
        <v>36716</v>
      </c>
      <c r="B130" s="3" t="str">
        <f>VLOOKUP(F130, Aircraft!A$2:C$99, 2, FALSE)</f>
        <v>AA-5</v>
      </c>
      <c r="C130" t="str">
        <f>VLOOKUP(F130, Aircraft!A$2:C$99, 3, FALSE)</f>
        <v>S</v>
      </c>
      <c r="D130" t="str">
        <f t="shared" si="13"/>
        <v>S</v>
      </c>
      <c r="E130" t="str">
        <f t="shared" si="14"/>
        <v>AA-5</v>
      </c>
      <c r="F130" t="s">
        <v>95</v>
      </c>
      <c r="G130" t="s">
        <v>204</v>
      </c>
      <c r="H130" s="2" t="str">
        <f t="shared" si="15"/>
        <v>PUT</v>
      </c>
      <c r="I130" t="s">
        <v>250</v>
      </c>
      <c r="J130" t="s">
        <v>250</v>
      </c>
      <c r="K130" s="4">
        <v>0.46527777777777773</v>
      </c>
      <c r="L130" s="4">
        <v>0.51041666666666663</v>
      </c>
      <c r="M130" s="11">
        <f t="shared" si="11"/>
        <v>0</v>
      </c>
      <c r="N130" s="11">
        <f t="shared" si="12"/>
        <v>4.5138888888888895E-2</v>
      </c>
      <c r="O130" s="11"/>
      <c r="P130" s="11"/>
      <c r="Q130" s="11"/>
      <c r="R130" s="11"/>
      <c r="S130" s="11"/>
      <c r="T130" s="11"/>
      <c r="U130" s="27">
        <v>0.9</v>
      </c>
      <c r="V130" s="11"/>
      <c r="X130" s="11">
        <f t="shared" si="10"/>
        <v>4.5138888888888895E-2</v>
      </c>
      <c r="Y130" t="s">
        <v>243</v>
      </c>
    </row>
    <row r="131" spans="1:25" outlineLevel="1" x14ac:dyDescent="0.15">
      <c r="A131" s="3">
        <v>36722</v>
      </c>
      <c r="B131" s="3" t="str">
        <f>VLOOKUP(F131, Aircraft!A$2:C$99, 2, FALSE)</f>
        <v>PA28-235</v>
      </c>
      <c r="C131" t="str">
        <f>VLOOKUP(F131, Aircraft!A$2:C$99, 3, FALSE)</f>
        <v>S</v>
      </c>
      <c r="D131" t="str">
        <f t="shared" si="13"/>
        <v>S</v>
      </c>
      <c r="E131" t="str">
        <f t="shared" si="14"/>
        <v>PA28-235</v>
      </c>
      <c r="F131" t="s">
        <v>490</v>
      </c>
      <c r="G131" t="s">
        <v>204</v>
      </c>
      <c r="H131" s="2" t="str">
        <f t="shared" si="15"/>
        <v>PUT</v>
      </c>
      <c r="I131" t="s">
        <v>250</v>
      </c>
      <c r="J131" t="s">
        <v>250</v>
      </c>
      <c r="K131" s="4">
        <v>0.4236111111111111</v>
      </c>
      <c r="L131" s="4">
        <v>0.46180555555555558</v>
      </c>
      <c r="M131" s="11">
        <f t="shared" si="11"/>
        <v>0</v>
      </c>
      <c r="N131" s="11">
        <f t="shared" si="12"/>
        <v>3.8194444444444475E-2</v>
      </c>
      <c r="O131" s="11"/>
      <c r="P131" s="11"/>
      <c r="Q131" s="11"/>
      <c r="R131" s="11"/>
      <c r="S131" s="11"/>
      <c r="T131" s="11"/>
      <c r="U131" s="27">
        <v>0.8</v>
      </c>
      <c r="V131" s="11"/>
      <c r="X131" s="11">
        <f t="shared" si="10"/>
        <v>3.8194444444444475E-2</v>
      </c>
      <c r="Y131" t="s">
        <v>244</v>
      </c>
    </row>
    <row r="132" spans="1:25" outlineLevel="1" x14ac:dyDescent="0.15">
      <c r="A132" s="3">
        <v>36722</v>
      </c>
      <c r="B132" s="3" t="str">
        <f>VLOOKUP(F132, Aircraft!A$2:C$99, 2, FALSE)</f>
        <v>Archer-III</v>
      </c>
      <c r="C132" t="str">
        <f>VLOOKUP(F132, Aircraft!A$2:C$99, 3, FALSE)</f>
        <v>S</v>
      </c>
      <c r="D132" t="str">
        <f t="shared" si="13"/>
        <v>S</v>
      </c>
      <c r="E132" t="str">
        <f t="shared" si="14"/>
        <v>Archer-III</v>
      </c>
      <c r="F132" t="s">
        <v>206</v>
      </c>
      <c r="G132" t="s">
        <v>204</v>
      </c>
      <c r="H132" s="2" t="str">
        <f t="shared" si="15"/>
        <v>PUT</v>
      </c>
      <c r="I132" t="s">
        <v>250</v>
      </c>
      <c r="J132" t="s">
        <v>250</v>
      </c>
      <c r="K132" s="4">
        <v>0.51388888888888895</v>
      </c>
      <c r="L132" s="4">
        <v>0.55208333333333337</v>
      </c>
      <c r="M132" s="11">
        <f t="shared" si="11"/>
        <v>0</v>
      </c>
      <c r="N132" s="11">
        <f t="shared" si="12"/>
        <v>3.819444444444442E-2</v>
      </c>
      <c r="O132" s="11"/>
      <c r="P132" s="11"/>
      <c r="Q132" s="11"/>
      <c r="R132" s="11"/>
      <c r="S132" s="11"/>
      <c r="T132" s="11"/>
      <c r="U132" s="27">
        <v>0.7</v>
      </c>
      <c r="V132" s="11"/>
      <c r="X132" s="11">
        <f t="shared" si="10"/>
        <v>3.819444444444442E-2</v>
      </c>
      <c r="Y132" t="s">
        <v>109</v>
      </c>
    </row>
    <row r="133" spans="1:25" outlineLevel="1" x14ac:dyDescent="0.15">
      <c r="A133" s="3">
        <v>36722</v>
      </c>
      <c r="B133" s="3" t="str">
        <f>VLOOKUP(F133, Aircraft!A$2:C$99, 2, FALSE)</f>
        <v>Archer-III</v>
      </c>
      <c r="C133" t="str">
        <f>VLOOKUP(F133, Aircraft!A$2:C$99, 3, FALSE)</f>
        <v>S</v>
      </c>
      <c r="D133" t="str">
        <f t="shared" si="13"/>
        <v>S</v>
      </c>
      <c r="E133" t="str">
        <f t="shared" si="14"/>
        <v>Archer-III</v>
      </c>
      <c r="F133" t="s">
        <v>206</v>
      </c>
      <c r="G133" t="s">
        <v>191</v>
      </c>
      <c r="H133" s="2" t="str">
        <f t="shared" si="15"/>
        <v>P1</v>
      </c>
      <c r="I133" t="s">
        <v>250</v>
      </c>
      <c r="J133" t="s">
        <v>250</v>
      </c>
      <c r="K133" s="4">
        <v>0.64583333333333337</v>
      </c>
      <c r="L133" s="4">
        <v>0.70486111111111116</v>
      </c>
      <c r="M133" s="11">
        <f t="shared" si="11"/>
        <v>5.902777777777779E-2</v>
      </c>
      <c r="N133" s="11">
        <f t="shared" si="12"/>
        <v>0</v>
      </c>
      <c r="O133" s="11"/>
      <c r="P133" s="11"/>
      <c r="Q133" s="11"/>
      <c r="R133" s="11"/>
      <c r="S133" s="11"/>
      <c r="T133" s="11"/>
      <c r="V133" s="11"/>
      <c r="X133" s="11">
        <f t="shared" si="10"/>
        <v>5.902777777777779E-2</v>
      </c>
      <c r="Y133" t="s">
        <v>110</v>
      </c>
    </row>
    <row r="134" spans="1:25" outlineLevel="1" x14ac:dyDescent="0.15">
      <c r="A134" s="3">
        <v>36723</v>
      </c>
      <c r="B134" s="3" t="str">
        <f>VLOOKUP(F134, Aircraft!A$2:C$99, 2, FALSE)</f>
        <v>Archer-III</v>
      </c>
      <c r="C134" t="str">
        <f>VLOOKUP(F134, Aircraft!A$2:C$99, 3, FALSE)</f>
        <v>S</v>
      </c>
      <c r="D134" t="str">
        <f t="shared" si="13"/>
        <v>S</v>
      </c>
      <c r="E134" t="str">
        <f t="shared" si="14"/>
        <v>Archer-III</v>
      </c>
      <c r="F134" t="s">
        <v>206</v>
      </c>
      <c r="G134" t="s">
        <v>191</v>
      </c>
      <c r="H134" s="2" t="str">
        <f t="shared" si="15"/>
        <v>P1</v>
      </c>
      <c r="I134" t="s">
        <v>250</v>
      </c>
      <c r="J134" t="s">
        <v>250</v>
      </c>
      <c r="K134" s="4">
        <v>0.39861111111111108</v>
      </c>
      <c r="L134" s="4">
        <v>0.4604166666666667</v>
      </c>
      <c r="M134" s="11">
        <f t="shared" si="11"/>
        <v>6.1805555555555614E-2</v>
      </c>
      <c r="N134" s="11">
        <f t="shared" si="12"/>
        <v>0</v>
      </c>
      <c r="O134" s="11"/>
      <c r="P134" s="11"/>
      <c r="Q134" s="11"/>
      <c r="R134" s="11"/>
      <c r="S134" s="11"/>
      <c r="T134" s="11"/>
      <c r="V134" s="11"/>
      <c r="X134" s="11">
        <f t="shared" si="10"/>
        <v>6.1805555555555614E-2</v>
      </c>
      <c r="Y134" t="s">
        <v>93</v>
      </c>
    </row>
    <row r="135" spans="1:25" outlineLevel="1" x14ac:dyDescent="0.15">
      <c r="A135" s="3">
        <v>36723</v>
      </c>
      <c r="B135" s="3" t="str">
        <f>VLOOKUP(F135, Aircraft!A$2:C$99, 2, FALSE)</f>
        <v>Archer-III</v>
      </c>
      <c r="C135" t="str">
        <f>VLOOKUP(F135, Aircraft!A$2:C$99, 3, FALSE)</f>
        <v>S</v>
      </c>
      <c r="D135" t="str">
        <f t="shared" si="13"/>
        <v>S</v>
      </c>
      <c r="E135" t="str">
        <f t="shared" si="14"/>
        <v>Archer-III</v>
      </c>
      <c r="F135" t="s">
        <v>206</v>
      </c>
      <c r="G135" t="s">
        <v>191</v>
      </c>
      <c r="H135" s="2" t="str">
        <f t="shared" si="15"/>
        <v>P1</v>
      </c>
      <c r="I135" t="s">
        <v>250</v>
      </c>
      <c r="J135" t="s">
        <v>250</v>
      </c>
      <c r="K135" s="4">
        <v>0.70138888888888884</v>
      </c>
      <c r="L135" s="4">
        <v>0.72638888888888886</v>
      </c>
      <c r="M135" s="11">
        <f t="shared" si="11"/>
        <v>2.5000000000000022E-2</v>
      </c>
      <c r="N135" s="11">
        <f t="shared" si="12"/>
        <v>0</v>
      </c>
      <c r="O135" s="11"/>
      <c r="P135" s="11"/>
      <c r="Q135" s="11"/>
      <c r="R135" s="11"/>
      <c r="S135" s="11"/>
      <c r="T135" s="11"/>
      <c r="V135" s="11"/>
      <c r="X135" s="11">
        <f t="shared" si="10"/>
        <v>2.5000000000000022E-2</v>
      </c>
      <c r="Y135" t="s">
        <v>92</v>
      </c>
    </row>
    <row r="136" spans="1:25" outlineLevel="1" x14ac:dyDescent="0.15">
      <c r="A136" s="3">
        <v>36727</v>
      </c>
      <c r="B136" s="3" t="str">
        <f>VLOOKUP(F136, Aircraft!A$2:C$99, 2, FALSE)</f>
        <v>PA28-235</v>
      </c>
      <c r="C136" t="str">
        <f>VLOOKUP(F136, Aircraft!A$2:C$99, 3, FALSE)</f>
        <v>S</v>
      </c>
      <c r="D136" t="str">
        <f t="shared" si="13"/>
        <v>S</v>
      </c>
      <c r="E136" t="str">
        <f t="shared" si="14"/>
        <v>PA28-235</v>
      </c>
      <c r="F136" t="s">
        <v>490</v>
      </c>
      <c r="G136" t="s">
        <v>191</v>
      </c>
      <c r="H136" s="2" t="str">
        <f t="shared" si="15"/>
        <v>P1</v>
      </c>
      <c r="I136" t="s">
        <v>250</v>
      </c>
      <c r="J136" t="s">
        <v>355</v>
      </c>
      <c r="K136" s="4">
        <v>0.63541666666666663</v>
      </c>
      <c r="L136" s="4">
        <v>0.67708333333333337</v>
      </c>
      <c r="M136" s="11">
        <f t="shared" si="11"/>
        <v>4.1666666666666741E-2</v>
      </c>
      <c r="N136" s="11">
        <f t="shared" si="12"/>
        <v>0</v>
      </c>
      <c r="O136" s="11"/>
      <c r="P136" s="11"/>
      <c r="Q136" s="11"/>
      <c r="R136" s="11"/>
      <c r="S136" s="11"/>
      <c r="T136" s="11"/>
      <c r="V136" s="11"/>
      <c r="X136" s="11">
        <f t="shared" si="10"/>
        <v>4.1666666666666741E-2</v>
      </c>
      <c r="Y136" t="s">
        <v>94</v>
      </c>
    </row>
    <row r="137" spans="1:25" outlineLevel="1" x14ac:dyDescent="0.15">
      <c r="A137" s="3">
        <v>36728</v>
      </c>
      <c r="B137" s="3" t="str">
        <f>VLOOKUP(F137, Aircraft!A$2:C$99, 2, FALSE)</f>
        <v>PA28-235</v>
      </c>
      <c r="C137" t="str">
        <f>VLOOKUP(F137, Aircraft!A$2:C$99, 3, FALSE)</f>
        <v>S</v>
      </c>
      <c r="D137" t="str">
        <f t="shared" si="13"/>
        <v>S</v>
      </c>
      <c r="E137" t="str">
        <f t="shared" si="14"/>
        <v>PA28-235</v>
      </c>
      <c r="F137" t="s">
        <v>490</v>
      </c>
      <c r="G137" t="s">
        <v>191</v>
      </c>
      <c r="H137" s="2" t="str">
        <f t="shared" si="15"/>
        <v>P1</v>
      </c>
      <c r="I137" t="s">
        <v>355</v>
      </c>
      <c r="J137" t="s">
        <v>250</v>
      </c>
      <c r="K137" s="4">
        <v>0.3263888888888889</v>
      </c>
      <c r="L137" s="4">
        <v>0.36458333333333331</v>
      </c>
      <c r="M137" s="11">
        <f t="shared" si="11"/>
        <v>3.819444444444442E-2</v>
      </c>
      <c r="N137" s="11">
        <f t="shared" si="12"/>
        <v>0</v>
      </c>
      <c r="O137" s="11"/>
      <c r="P137" s="11"/>
      <c r="Q137" s="11"/>
      <c r="R137" s="11"/>
      <c r="S137" s="11"/>
      <c r="T137" s="11"/>
      <c r="V137" s="11"/>
      <c r="X137" s="11">
        <f t="shared" si="10"/>
        <v>3.819444444444442E-2</v>
      </c>
    </row>
    <row r="138" spans="1:25" outlineLevel="1" x14ac:dyDescent="0.15">
      <c r="A138" s="3">
        <v>36737</v>
      </c>
      <c r="B138" s="3" t="str">
        <f>VLOOKUP(F138, Aircraft!A$2:C$99, 2, FALSE)</f>
        <v>AA-5</v>
      </c>
      <c r="C138" t="str">
        <f>VLOOKUP(F138, Aircraft!A$2:C$99, 3, FALSE)</f>
        <v>S</v>
      </c>
      <c r="D138" t="str">
        <f t="shared" si="13"/>
        <v>S</v>
      </c>
      <c r="E138" t="str">
        <f t="shared" si="14"/>
        <v>AA-5</v>
      </c>
      <c r="F138" t="s">
        <v>95</v>
      </c>
      <c r="G138" t="s">
        <v>191</v>
      </c>
      <c r="H138" s="2" t="str">
        <f t="shared" si="15"/>
        <v>P1</v>
      </c>
      <c r="I138" t="s">
        <v>250</v>
      </c>
      <c r="J138" t="s">
        <v>155</v>
      </c>
      <c r="K138" s="4">
        <v>0.64930555555555558</v>
      </c>
      <c r="L138" s="4">
        <v>0.69097222222222221</v>
      </c>
      <c r="M138" s="11">
        <f t="shared" si="11"/>
        <v>4.166666666666663E-2</v>
      </c>
      <c r="N138" s="11">
        <f t="shared" si="12"/>
        <v>0</v>
      </c>
      <c r="O138" s="11"/>
      <c r="P138" s="11"/>
      <c r="Q138" s="11"/>
      <c r="R138" s="11"/>
      <c r="S138" s="11"/>
      <c r="T138" s="11"/>
      <c r="V138" s="11"/>
      <c r="X138" s="11">
        <f t="shared" ref="X138:X202" si="16">SUM(M138:S138)</f>
        <v>4.166666666666663E-2</v>
      </c>
      <c r="Y138" t="s">
        <v>484</v>
      </c>
    </row>
    <row r="139" spans="1:25" outlineLevel="1" x14ac:dyDescent="0.15">
      <c r="A139" s="3">
        <v>36737</v>
      </c>
      <c r="B139" s="3" t="str">
        <f>VLOOKUP(F139, Aircraft!A$2:C$99, 2, FALSE)</f>
        <v>AA-5</v>
      </c>
      <c r="C139" t="str">
        <f>VLOOKUP(F139, Aircraft!A$2:C$99, 3, FALSE)</f>
        <v>S</v>
      </c>
      <c r="D139" t="str">
        <f t="shared" si="13"/>
        <v>S</v>
      </c>
      <c r="E139" t="str">
        <f t="shared" si="14"/>
        <v>AA-5</v>
      </c>
      <c r="F139" t="s">
        <v>95</v>
      </c>
      <c r="G139" t="s">
        <v>191</v>
      </c>
      <c r="H139" s="2" t="str">
        <f t="shared" si="15"/>
        <v>P1</v>
      </c>
      <c r="I139" t="s">
        <v>155</v>
      </c>
      <c r="J139" t="s">
        <v>250</v>
      </c>
      <c r="K139" s="4">
        <v>0.67013888888888884</v>
      </c>
      <c r="L139" s="4">
        <v>0.70277777777777783</v>
      </c>
      <c r="M139" s="11">
        <f t="shared" si="11"/>
        <v>3.2638888888888995E-2</v>
      </c>
      <c r="N139" s="11">
        <f t="shared" si="12"/>
        <v>0</v>
      </c>
      <c r="O139" s="11"/>
      <c r="P139" s="11"/>
      <c r="Q139" s="11"/>
      <c r="R139" s="11"/>
      <c r="S139" s="11"/>
      <c r="T139" s="11"/>
      <c r="V139" s="11"/>
      <c r="X139" s="11">
        <f t="shared" si="16"/>
        <v>3.2638888888888995E-2</v>
      </c>
    </row>
    <row r="140" spans="1:25" outlineLevel="1" x14ac:dyDescent="0.15">
      <c r="A140" s="3">
        <v>36750</v>
      </c>
      <c r="B140" s="3" t="str">
        <f>VLOOKUP(F140, Aircraft!A$2:C$99, 2, FALSE)</f>
        <v>PA28-235</v>
      </c>
      <c r="C140" t="str">
        <f>VLOOKUP(F140, Aircraft!A$2:C$99, 3, FALSE)</f>
        <v>S</v>
      </c>
      <c r="D140" t="str">
        <f t="shared" si="13"/>
        <v>S</v>
      </c>
      <c r="E140" t="str">
        <f t="shared" si="14"/>
        <v>PA28-235</v>
      </c>
      <c r="F140" t="s">
        <v>490</v>
      </c>
      <c r="G140" t="s">
        <v>191</v>
      </c>
      <c r="H140" s="2" t="str">
        <f t="shared" si="15"/>
        <v>P1</v>
      </c>
      <c r="I140" t="s">
        <v>250</v>
      </c>
      <c r="J140" t="s">
        <v>161</v>
      </c>
      <c r="K140" s="4">
        <v>0.62986111111111109</v>
      </c>
      <c r="L140" s="4">
        <v>0.6875</v>
      </c>
      <c r="M140" s="11">
        <f t="shared" si="11"/>
        <v>5.7638888888888906E-2</v>
      </c>
      <c r="N140" s="11">
        <f t="shared" si="12"/>
        <v>0</v>
      </c>
      <c r="O140" s="11"/>
      <c r="P140" s="11"/>
      <c r="Q140" s="11"/>
      <c r="R140" s="11"/>
      <c r="S140" s="11"/>
      <c r="T140" s="11"/>
      <c r="V140" s="11"/>
      <c r="X140" s="11">
        <f t="shared" si="16"/>
        <v>5.7638888888888906E-2</v>
      </c>
      <c r="Y140" t="s">
        <v>484</v>
      </c>
    </row>
    <row r="141" spans="1:25" outlineLevel="1" x14ac:dyDescent="0.15">
      <c r="A141" s="3">
        <v>36750</v>
      </c>
      <c r="B141" s="3" t="str">
        <f>VLOOKUP(F141, Aircraft!A$2:C$99, 2, FALSE)</f>
        <v>PA28-235</v>
      </c>
      <c r="C141" t="str">
        <f>VLOOKUP(F141, Aircraft!A$2:C$99, 3, FALSE)</f>
        <v>S</v>
      </c>
      <c r="D141" t="str">
        <f t="shared" si="13"/>
        <v>S</v>
      </c>
      <c r="E141" t="str">
        <f t="shared" si="14"/>
        <v>PA28-235</v>
      </c>
      <c r="F141" t="s">
        <v>490</v>
      </c>
      <c r="G141" t="s">
        <v>191</v>
      </c>
      <c r="H141" s="2" t="str">
        <f t="shared" si="15"/>
        <v>P1</v>
      </c>
      <c r="I141" t="s">
        <v>161</v>
      </c>
      <c r="J141" t="s">
        <v>250</v>
      </c>
      <c r="K141" s="4">
        <v>0.71180555555555547</v>
      </c>
      <c r="L141" s="4">
        <v>0.76597222222222217</v>
      </c>
      <c r="M141" s="11">
        <f t="shared" si="11"/>
        <v>5.4166666666666696E-2</v>
      </c>
      <c r="N141" s="11">
        <f t="shared" si="12"/>
        <v>0</v>
      </c>
      <c r="O141" s="11"/>
      <c r="P141" s="11"/>
      <c r="Q141" s="11"/>
      <c r="R141" s="11"/>
      <c r="S141" s="11"/>
      <c r="T141" s="11"/>
      <c r="V141" s="11"/>
      <c r="X141" s="11">
        <f t="shared" si="16"/>
        <v>5.4166666666666696E-2</v>
      </c>
    </row>
    <row r="142" spans="1:25" outlineLevel="1" x14ac:dyDescent="0.15">
      <c r="A142" s="3">
        <v>36751</v>
      </c>
      <c r="B142" s="3" t="str">
        <f>VLOOKUP(F142, Aircraft!A$2:C$99, 2, FALSE)</f>
        <v>Archer-III</v>
      </c>
      <c r="C142" t="str">
        <f>VLOOKUP(F142, Aircraft!A$2:C$99, 3, FALSE)</f>
        <v>S</v>
      </c>
      <c r="D142" t="str">
        <f t="shared" ref="D142:D206" si="17">IF(ISNA(C142), "", C142)</f>
        <v>S</v>
      </c>
      <c r="E142" t="str">
        <f t="shared" ref="E142:E206" si="18">IF(ISNA(B142), "", B142)</f>
        <v>Archer-III</v>
      </c>
      <c r="F142" t="s">
        <v>206</v>
      </c>
      <c r="G142" t="s">
        <v>191</v>
      </c>
      <c r="H142" s="2" t="str">
        <f t="shared" ref="H142:H206" si="19">IF(UPPER(G142)&lt;&gt;"SELF",IF(G142&lt;&gt;"", "PUT", ""),"P1")</f>
        <v>P1</v>
      </c>
      <c r="I142" t="s">
        <v>250</v>
      </c>
      <c r="J142" t="s">
        <v>62</v>
      </c>
      <c r="K142" s="4">
        <v>0.52777777777777779</v>
      </c>
      <c r="L142" s="4">
        <v>0.57291666666666663</v>
      </c>
      <c r="M142" s="11">
        <f t="shared" ref="M142:M159" si="20">IF(AND(H142="P1", D142="S"), L142-K142, 0)</f>
        <v>4.513888888888884E-2</v>
      </c>
      <c r="N142" s="11">
        <f t="shared" ref="N142:N158" si="21">IF(AND(H142="PUT", D142="S"), L142-K142, 0)</f>
        <v>0</v>
      </c>
      <c r="O142" s="11"/>
      <c r="P142" s="11"/>
      <c r="Q142" s="11"/>
      <c r="R142" s="11"/>
      <c r="S142" s="11"/>
      <c r="T142" s="11"/>
      <c r="V142" s="11"/>
      <c r="X142" s="11">
        <f t="shared" si="16"/>
        <v>4.513888888888884E-2</v>
      </c>
      <c r="Y142" t="s">
        <v>99</v>
      </c>
    </row>
    <row r="143" spans="1:25" outlineLevel="1" x14ac:dyDescent="0.15">
      <c r="A143" s="3">
        <v>36751</v>
      </c>
      <c r="B143" s="3" t="str">
        <f>VLOOKUP(F143, Aircraft!A$2:C$99, 2, FALSE)</f>
        <v>Archer-III</v>
      </c>
      <c r="C143" t="str">
        <f>VLOOKUP(F143, Aircraft!A$2:C$99, 3, FALSE)</f>
        <v>S</v>
      </c>
      <c r="D143" t="str">
        <f t="shared" si="17"/>
        <v>S</v>
      </c>
      <c r="E143" t="str">
        <f t="shared" si="18"/>
        <v>Archer-III</v>
      </c>
      <c r="F143" t="s">
        <v>206</v>
      </c>
      <c r="G143" t="s">
        <v>191</v>
      </c>
      <c r="H143" s="2" t="str">
        <f t="shared" si="19"/>
        <v>P1</v>
      </c>
      <c r="I143" t="s">
        <v>62</v>
      </c>
      <c r="J143" t="s">
        <v>250</v>
      </c>
      <c r="K143" s="4">
        <v>0.60416666666666663</v>
      </c>
      <c r="L143" s="4">
        <v>0.65277777777777779</v>
      </c>
      <c r="M143" s="11">
        <f t="shared" si="20"/>
        <v>4.861111111111116E-2</v>
      </c>
      <c r="N143" s="11">
        <f t="shared" si="21"/>
        <v>0</v>
      </c>
      <c r="O143" s="11"/>
      <c r="P143" s="11"/>
      <c r="Q143" s="11"/>
      <c r="R143" s="11"/>
      <c r="S143" s="11"/>
      <c r="T143" s="11"/>
      <c r="V143" s="11"/>
      <c r="X143" s="11">
        <f t="shared" si="16"/>
        <v>4.861111111111116E-2</v>
      </c>
    </row>
    <row r="144" spans="1:25" outlineLevel="1" x14ac:dyDescent="0.15">
      <c r="A144" s="3">
        <v>36765</v>
      </c>
      <c r="B144" s="3" t="str">
        <f>VLOOKUP(F144, Aircraft!A$2:C$99, 2, FALSE)</f>
        <v>DHC-1</v>
      </c>
      <c r="C144" t="str">
        <f>VLOOKUP(F144, Aircraft!A$2:C$99, 3, FALSE)</f>
        <v>S</v>
      </c>
      <c r="D144" t="str">
        <f t="shared" si="17"/>
        <v>S</v>
      </c>
      <c r="E144" t="str">
        <f t="shared" si="18"/>
        <v>DHC-1</v>
      </c>
      <c r="F144" t="s">
        <v>96</v>
      </c>
      <c r="G144" t="s">
        <v>204</v>
      </c>
      <c r="H144" s="2" t="str">
        <f t="shared" si="19"/>
        <v>PUT</v>
      </c>
      <c r="I144" t="s">
        <v>250</v>
      </c>
      <c r="J144" t="s">
        <v>250</v>
      </c>
      <c r="K144" s="4">
        <v>0.56944444444444442</v>
      </c>
      <c r="L144" s="4">
        <v>0.61458333333333337</v>
      </c>
      <c r="M144" s="11">
        <f t="shared" si="20"/>
        <v>0</v>
      </c>
      <c r="N144" s="11">
        <f t="shared" si="21"/>
        <v>4.5138888888888951E-2</v>
      </c>
      <c r="O144" s="11"/>
      <c r="P144" s="11"/>
      <c r="Q144" s="11"/>
      <c r="R144" s="11"/>
      <c r="S144" s="11"/>
      <c r="T144" s="11"/>
      <c r="V144" s="11"/>
      <c r="X144" s="11">
        <f t="shared" si="16"/>
        <v>4.5138888888888951E-2</v>
      </c>
      <c r="Y144" t="s">
        <v>98</v>
      </c>
    </row>
    <row r="145" spans="1:25" outlineLevel="1" x14ac:dyDescent="0.15">
      <c r="A145" s="3">
        <v>36773</v>
      </c>
      <c r="B145" s="3" t="str">
        <f>VLOOKUP(F145, Aircraft!A$2:C$99, 2, FALSE)</f>
        <v>PA28-235</v>
      </c>
      <c r="C145" t="str">
        <f>VLOOKUP(F145, Aircraft!A$2:C$99, 3, FALSE)</f>
        <v>S</v>
      </c>
      <c r="D145" t="str">
        <f t="shared" si="17"/>
        <v>S</v>
      </c>
      <c r="E145" t="str">
        <f t="shared" si="18"/>
        <v>PA28-235</v>
      </c>
      <c r="F145" t="s">
        <v>490</v>
      </c>
      <c r="G145" t="s">
        <v>191</v>
      </c>
      <c r="H145" s="2" t="str">
        <f t="shared" si="19"/>
        <v>P1</v>
      </c>
      <c r="I145" t="s">
        <v>250</v>
      </c>
      <c r="J145" t="s">
        <v>64</v>
      </c>
      <c r="K145" s="4">
        <v>0.54652777777777783</v>
      </c>
      <c r="L145" s="4">
        <v>0.66736111111111107</v>
      </c>
      <c r="M145" s="11">
        <f t="shared" si="20"/>
        <v>0.12083333333333324</v>
      </c>
      <c r="N145" s="11">
        <f t="shared" si="21"/>
        <v>0</v>
      </c>
      <c r="O145" s="11"/>
      <c r="P145" s="11"/>
      <c r="Q145" s="11"/>
      <c r="R145" s="11"/>
      <c r="S145" s="11"/>
      <c r="T145" s="11"/>
      <c r="U145" s="27">
        <v>0.5</v>
      </c>
      <c r="V145" s="11"/>
      <c r="X145" s="11">
        <f t="shared" si="16"/>
        <v>0.12083333333333324</v>
      </c>
      <c r="Y145" t="s">
        <v>100</v>
      </c>
    </row>
    <row r="146" spans="1:25" outlineLevel="1" x14ac:dyDescent="0.15">
      <c r="A146" s="3">
        <v>36774</v>
      </c>
      <c r="B146" s="3" t="str">
        <f>VLOOKUP(F146, Aircraft!A$2:C$99, 2, FALSE)</f>
        <v>PA28-235</v>
      </c>
      <c r="C146" t="str">
        <f>VLOOKUP(F146, Aircraft!A$2:C$99, 3, FALSE)</f>
        <v>S</v>
      </c>
      <c r="D146" t="str">
        <f t="shared" si="17"/>
        <v>S</v>
      </c>
      <c r="E146" t="str">
        <f t="shared" si="18"/>
        <v>PA28-235</v>
      </c>
      <c r="F146" t="s">
        <v>490</v>
      </c>
      <c r="G146" t="s">
        <v>191</v>
      </c>
      <c r="H146" s="2" t="str">
        <f t="shared" si="19"/>
        <v>P1</v>
      </c>
      <c r="I146" t="s">
        <v>64</v>
      </c>
      <c r="J146" t="s">
        <v>250</v>
      </c>
      <c r="K146" s="4">
        <v>0.42708333333333331</v>
      </c>
      <c r="L146" s="4">
        <v>0.53333333333333333</v>
      </c>
      <c r="M146" s="11">
        <f t="shared" si="20"/>
        <v>0.10625000000000001</v>
      </c>
      <c r="N146" s="11">
        <f t="shared" si="21"/>
        <v>0</v>
      </c>
      <c r="O146" s="11"/>
      <c r="P146" s="11"/>
      <c r="Q146" s="11"/>
      <c r="R146" s="11"/>
      <c r="S146" s="11"/>
      <c r="T146" s="11"/>
      <c r="U146" s="27">
        <v>1</v>
      </c>
      <c r="V146" s="11"/>
      <c r="X146" s="11">
        <f t="shared" si="16"/>
        <v>0.10625000000000001</v>
      </c>
      <c r="Y146" t="s">
        <v>101</v>
      </c>
    </row>
    <row r="147" spans="1:25" outlineLevel="1" x14ac:dyDescent="0.15">
      <c r="A147" s="3">
        <v>36792</v>
      </c>
      <c r="B147" s="3" t="str">
        <f>VLOOKUP(F147, Aircraft!A$2:C$99, 2, FALSE)</f>
        <v>PA28-235</v>
      </c>
      <c r="C147" t="str">
        <f>VLOOKUP(F147, Aircraft!A$2:C$99, 3, FALSE)</f>
        <v>S</v>
      </c>
      <c r="D147" t="str">
        <f t="shared" si="17"/>
        <v>S</v>
      </c>
      <c r="E147" t="str">
        <f t="shared" si="18"/>
        <v>PA28-235</v>
      </c>
      <c r="F147" t="s">
        <v>490</v>
      </c>
      <c r="G147" t="s">
        <v>191</v>
      </c>
      <c r="H147" s="2" t="str">
        <f t="shared" si="19"/>
        <v>P1</v>
      </c>
      <c r="I147" t="s">
        <v>250</v>
      </c>
      <c r="J147" t="s">
        <v>147</v>
      </c>
      <c r="K147" s="4">
        <v>0.54027777777777775</v>
      </c>
      <c r="L147" s="4">
        <v>0.63611111111111118</v>
      </c>
      <c r="M147" s="11">
        <f t="shared" si="20"/>
        <v>9.5833333333333437E-2</v>
      </c>
      <c r="N147" s="11">
        <f t="shared" si="21"/>
        <v>0</v>
      </c>
      <c r="O147" s="11"/>
      <c r="P147" s="11"/>
      <c r="Q147" s="11"/>
      <c r="R147" s="11"/>
      <c r="S147" s="11"/>
      <c r="T147" s="11"/>
      <c r="V147" s="11"/>
      <c r="X147" s="11">
        <f t="shared" si="16"/>
        <v>9.5833333333333437E-2</v>
      </c>
      <c r="Y147" t="s">
        <v>49</v>
      </c>
    </row>
    <row r="148" spans="1:25" outlineLevel="1" x14ac:dyDescent="0.15">
      <c r="A148" s="3">
        <v>36793</v>
      </c>
      <c r="B148" s="3" t="str">
        <f>VLOOKUP(F148, Aircraft!A$2:C$99, 2, FALSE)</f>
        <v>PA28-235</v>
      </c>
      <c r="C148" t="str">
        <f>VLOOKUP(F148, Aircraft!A$2:C$99, 3, FALSE)</f>
        <v>S</v>
      </c>
      <c r="D148" t="str">
        <f t="shared" si="17"/>
        <v>S</v>
      </c>
      <c r="E148" t="str">
        <f t="shared" si="18"/>
        <v>PA28-235</v>
      </c>
      <c r="F148" t="s">
        <v>490</v>
      </c>
      <c r="G148" t="s">
        <v>191</v>
      </c>
      <c r="H148" s="2" t="str">
        <f t="shared" si="19"/>
        <v>P1</v>
      </c>
      <c r="I148" t="s">
        <v>147</v>
      </c>
      <c r="J148" t="s">
        <v>151</v>
      </c>
      <c r="K148" s="4">
        <v>0.38541666666666669</v>
      </c>
      <c r="L148" s="4">
        <v>0.4826388888888889</v>
      </c>
      <c r="M148" s="11">
        <f t="shared" si="20"/>
        <v>9.722222222222221E-2</v>
      </c>
      <c r="N148" s="11">
        <f t="shared" si="21"/>
        <v>0</v>
      </c>
      <c r="O148" s="11"/>
      <c r="P148" s="11"/>
      <c r="Q148" s="11"/>
      <c r="R148" s="11"/>
      <c r="S148" s="11"/>
      <c r="T148" s="11"/>
      <c r="U148" s="27">
        <v>1.2</v>
      </c>
      <c r="V148" s="11"/>
      <c r="X148" s="11">
        <f t="shared" si="16"/>
        <v>9.722222222222221E-2</v>
      </c>
      <c r="Y148" t="s">
        <v>50</v>
      </c>
    </row>
    <row r="149" spans="1:25" outlineLevel="1" x14ac:dyDescent="0.15">
      <c r="A149" s="14">
        <v>36793</v>
      </c>
      <c r="B149" s="3" t="str">
        <f>VLOOKUP(F149, Aircraft!A$2:C$99, 2, FALSE)</f>
        <v>PA28-235</v>
      </c>
      <c r="C149" t="str">
        <f>VLOOKUP(F149, Aircraft!A$2:C$99, 3, FALSE)</f>
        <v>S</v>
      </c>
      <c r="D149" t="str">
        <f t="shared" si="17"/>
        <v>S</v>
      </c>
      <c r="E149" t="str">
        <f t="shared" si="18"/>
        <v>PA28-235</v>
      </c>
      <c r="F149" t="s">
        <v>490</v>
      </c>
      <c r="G149" t="s">
        <v>191</v>
      </c>
      <c r="H149" s="2" t="str">
        <f t="shared" si="19"/>
        <v>P1</v>
      </c>
      <c r="I149" t="s">
        <v>250</v>
      </c>
      <c r="J149" t="s">
        <v>250</v>
      </c>
      <c r="K149" s="4">
        <v>0.53819444444444442</v>
      </c>
      <c r="L149" s="4">
        <v>0.56944444444444442</v>
      </c>
      <c r="M149" s="11">
        <f t="shared" si="20"/>
        <v>3.125E-2</v>
      </c>
      <c r="N149" s="11">
        <f t="shared" si="21"/>
        <v>0</v>
      </c>
      <c r="O149" s="11"/>
      <c r="P149" s="11"/>
      <c r="Q149" s="11"/>
      <c r="R149" s="11"/>
      <c r="S149" s="11"/>
      <c r="T149" s="11"/>
      <c r="V149" s="11"/>
      <c r="X149" s="11">
        <f t="shared" si="16"/>
        <v>3.125E-2</v>
      </c>
      <c r="Y149" t="s">
        <v>52</v>
      </c>
    </row>
    <row r="150" spans="1:25" outlineLevel="1" x14ac:dyDescent="0.15">
      <c r="A150" s="3">
        <v>36793</v>
      </c>
      <c r="B150" s="3" t="str">
        <f>VLOOKUP(F150, Aircraft!A$2:C$99, 2, FALSE)</f>
        <v>PA28-235</v>
      </c>
      <c r="C150" t="str">
        <f>VLOOKUP(F150, Aircraft!A$2:C$99, 3, FALSE)</f>
        <v>S</v>
      </c>
      <c r="D150" t="str">
        <f t="shared" si="17"/>
        <v>S</v>
      </c>
      <c r="E150" t="str">
        <f t="shared" si="18"/>
        <v>PA28-235</v>
      </c>
      <c r="F150" t="s">
        <v>490</v>
      </c>
      <c r="G150" t="s">
        <v>191</v>
      </c>
      <c r="H150" s="2" t="str">
        <f t="shared" si="19"/>
        <v>P1</v>
      </c>
      <c r="I150" t="s">
        <v>5</v>
      </c>
      <c r="J150" t="s">
        <v>250</v>
      </c>
      <c r="K150" s="4">
        <v>0.63194444444444442</v>
      </c>
      <c r="L150" s="4">
        <v>0.65972222222222221</v>
      </c>
      <c r="M150" s="11">
        <f t="shared" si="20"/>
        <v>2.777777777777779E-2</v>
      </c>
      <c r="N150" s="11">
        <f t="shared" si="21"/>
        <v>0</v>
      </c>
      <c r="O150" s="11"/>
      <c r="P150" s="11"/>
      <c r="Q150" s="11"/>
      <c r="R150" s="11"/>
      <c r="S150" s="11"/>
      <c r="T150" s="11"/>
      <c r="U150" s="27">
        <v>0.3</v>
      </c>
      <c r="V150" s="11"/>
      <c r="X150" s="11">
        <f t="shared" si="16"/>
        <v>2.777777777777779E-2</v>
      </c>
      <c r="Y150" t="s">
        <v>51</v>
      </c>
    </row>
    <row r="151" spans="1:25" outlineLevel="1" x14ac:dyDescent="0.15">
      <c r="A151" s="3">
        <v>36813</v>
      </c>
      <c r="B151" s="3" t="str">
        <f>VLOOKUP(F151, Aircraft!A$2:C$99, 2, FALSE)</f>
        <v>PA28-235</v>
      </c>
      <c r="C151" t="str">
        <f>VLOOKUP(F151, Aircraft!A$2:C$99, 3, FALSE)</f>
        <v>S</v>
      </c>
      <c r="D151" t="str">
        <f t="shared" si="17"/>
        <v>S</v>
      </c>
      <c r="E151" t="str">
        <f t="shared" si="18"/>
        <v>PA28-235</v>
      </c>
      <c r="F151" t="s">
        <v>490</v>
      </c>
      <c r="G151" t="s">
        <v>191</v>
      </c>
      <c r="H151" s="2" t="str">
        <f t="shared" si="19"/>
        <v>P1</v>
      </c>
      <c r="I151" t="s">
        <v>250</v>
      </c>
      <c r="J151" t="s">
        <v>250</v>
      </c>
      <c r="K151" s="4">
        <v>0.59375</v>
      </c>
      <c r="L151" s="4">
        <v>0.64236111111111105</v>
      </c>
      <c r="M151" s="11">
        <f t="shared" si="20"/>
        <v>4.8611111111111049E-2</v>
      </c>
      <c r="N151" s="11">
        <f t="shared" si="21"/>
        <v>0</v>
      </c>
      <c r="O151" s="11"/>
      <c r="P151" s="11"/>
      <c r="Q151" s="11"/>
      <c r="R151" s="11"/>
      <c r="S151" s="11"/>
      <c r="T151" s="11"/>
      <c r="V151" s="11"/>
      <c r="X151" s="11">
        <f t="shared" si="16"/>
        <v>4.8611111111111049E-2</v>
      </c>
      <c r="Y151" t="s">
        <v>53</v>
      </c>
    </row>
    <row r="152" spans="1:25" outlineLevel="1" x14ac:dyDescent="0.15">
      <c r="A152" s="3">
        <v>36821</v>
      </c>
      <c r="B152" s="3" t="str">
        <f>VLOOKUP(F152, Aircraft!A$2:C$99, 2, FALSE)</f>
        <v>Archer-III</v>
      </c>
      <c r="C152" t="str">
        <f>VLOOKUP(F152, Aircraft!A$2:C$99, 3, FALSE)</f>
        <v>S</v>
      </c>
      <c r="D152" t="str">
        <f t="shared" si="17"/>
        <v>S</v>
      </c>
      <c r="E152" t="str">
        <f t="shared" si="18"/>
        <v>Archer-III</v>
      </c>
      <c r="F152" t="s">
        <v>54</v>
      </c>
      <c r="G152" t="s">
        <v>191</v>
      </c>
      <c r="H152" s="2" t="str">
        <f t="shared" si="19"/>
        <v>P1</v>
      </c>
      <c r="I152" t="s">
        <v>250</v>
      </c>
      <c r="J152" t="s">
        <v>250</v>
      </c>
      <c r="K152" s="4">
        <v>0.5625</v>
      </c>
      <c r="L152" s="4">
        <v>0.60763888888888895</v>
      </c>
      <c r="M152" s="11">
        <f t="shared" si="20"/>
        <v>4.5138888888888951E-2</v>
      </c>
      <c r="N152" s="11">
        <f t="shared" si="21"/>
        <v>0</v>
      </c>
      <c r="O152" s="11"/>
      <c r="P152" s="11"/>
      <c r="Q152" s="11"/>
      <c r="R152" s="11"/>
      <c r="S152" s="11"/>
      <c r="T152" s="11"/>
      <c r="U152" s="27">
        <v>1.1000000000000001</v>
      </c>
      <c r="V152" s="11"/>
      <c r="X152" s="11">
        <f t="shared" si="16"/>
        <v>4.5138888888888951E-2</v>
      </c>
      <c r="Y152" t="s">
        <v>229</v>
      </c>
    </row>
    <row r="153" spans="1:25" outlineLevel="1" x14ac:dyDescent="0.15">
      <c r="A153" s="3">
        <v>36848</v>
      </c>
      <c r="B153" s="3" t="str">
        <f>VLOOKUP(F153, Aircraft!A$2:C$99, 2, FALSE)</f>
        <v>PA28</v>
      </c>
      <c r="C153" t="str">
        <f>VLOOKUP(F153, Aircraft!A$2:C$99, 3, FALSE)</f>
        <v>S</v>
      </c>
      <c r="D153" t="str">
        <f t="shared" si="17"/>
        <v>S</v>
      </c>
      <c r="E153" t="str">
        <f t="shared" si="18"/>
        <v>PA28</v>
      </c>
      <c r="F153" t="s">
        <v>55</v>
      </c>
      <c r="G153" t="s">
        <v>191</v>
      </c>
      <c r="H153" s="2" t="str">
        <f t="shared" si="19"/>
        <v>P1</v>
      </c>
      <c r="I153" t="s">
        <v>230</v>
      </c>
      <c r="J153" t="s">
        <v>230</v>
      </c>
      <c r="K153" s="4">
        <v>0.41319444444444442</v>
      </c>
      <c r="L153" s="4">
        <v>0.45833333333333331</v>
      </c>
      <c r="M153" s="11">
        <f t="shared" si="20"/>
        <v>4.5138888888888895E-2</v>
      </c>
      <c r="N153" s="11">
        <f t="shared" si="21"/>
        <v>0</v>
      </c>
      <c r="O153" s="11"/>
      <c r="P153" s="11"/>
      <c r="Q153" s="11"/>
      <c r="R153" s="11"/>
      <c r="S153" s="11"/>
      <c r="T153" s="11"/>
      <c r="V153" s="11"/>
      <c r="X153" s="11">
        <f t="shared" si="16"/>
        <v>4.5138888888888895E-2</v>
      </c>
      <c r="Y153" t="s">
        <v>231</v>
      </c>
    </row>
    <row r="154" spans="1:25" outlineLevel="1" x14ac:dyDescent="0.15">
      <c r="A154" s="3">
        <v>36862</v>
      </c>
      <c r="B154" s="3" t="str">
        <f>VLOOKUP(F154, Aircraft!A$2:C$99, 2, FALSE)</f>
        <v>Archer-III</v>
      </c>
      <c r="C154" t="str">
        <f>VLOOKUP(F154, Aircraft!A$2:C$99, 3, FALSE)</f>
        <v>S</v>
      </c>
      <c r="D154" t="str">
        <f t="shared" si="17"/>
        <v>S</v>
      </c>
      <c r="E154" t="str">
        <f t="shared" si="18"/>
        <v>Archer-III</v>
      </c>
      <c r="F154" t="s">
        <v>54</v>
      </c>
      <c r="G154" t="s">
        <v>191</v>
      </c>
      <c r="H154" s="2" t="str">
        <f t="shared" si="19"/>
        <v>P1</v>
      </c>
      <c r="I154" t="s">
        <v>250</v>
      </c>
      <c r="J154" t="s">
        <v>250</v>
      </c>
      <c r="K154" s="4">
        <v>0.46875</v>
      </c>
      <c r="L154" s="4">
        <v>0.51041666666666663</v>
      </c>
      <c r="M154" s="11">
        <f t="shared" si="20"/>
        <v>4.166666666666663E-2</v>
      </c>
      <c r="N154" s="11">
        <f t="shared" si="21"/>
        <v>0</v>
      </c>
      <c r="O154" s="11"/>
      <c r="P154" s="11"/>
      <c r="Q154" s="11"/>
      <c r="R154" s="11"/>
      <c r="S154" s="11"/>
      <c r="T154" s="11"/>
      <c r="V154" s="11"/>
      <c r="X154" s="11">
        <f t="shared" si="16"/>
        <v>4.166666666666663E-2</v>
      </c>
      <c r="Y154" t="s">
        <v>232</v>
      </c>
    </row>
    <row r="155" spans="1:25" outlineLevel="1" x14ac:dyDescent="0.15">
      <c r="A155" s="3">
        <v>36862</v>
      </c>
      <c r="B155" s="3" t="str">
        <f>VLOOKUP(F155, Aircraft!A$2:C$99, 2, FALSE)</f>
        <v>Archer-III</v>
      </c>
      <c r="C155" t="str">
        <f>VLOOKUP(F155, Aircraft!A$2:C$99, 3, FALSE)</f>
        <v>S</v>
      </c>
      <c r="D155" t="str">
        <f t="shared" si="17"/>
        <v>S</v>
      </c>
      <c r="E155" t="str">
        <f t="shared" si="18"/>
        <v>Archer-III</v>
      </c>
      <c r="F155" t="s">
        <v>54</v>
      </c>
      <c r="G155" t="s">
        <v>191</v>
      </c>
      <c r="H155" s="2" t="str">
        <f t="shared" si="19"/>
        <v>P1</v>
      </c>
      <c r="I155" t="s">
        <v>250</v>
      </c>
      <c r="J155" t="s">
        <v>250</v>
      </c>
      <c r="K155" s="4">
        <v>0.55347222222222225</v>
      </c>
      <c r="L155" s="4">
        <v>0.63194444444444442</v>
      </c>
      <c r="M155" s="11">
        <f t="shared" si="20"/>
        <v>7.8472222222222165E-2</v>
      </c>
      <c r="N155" s="11">
        <f t="shared" si="21"/>
        <v>0</v>
      </c>
      <c r="O155" s="11"/>
      <c r="P155" s="11"/>
      <c r="Q155" s="11"/>
      <c r="R155" s="11"/>
      <c r="S155" s="11"/>
      <c r="T155" s="11"/>
      <c r="V155" s="11"/>
      <c r="X155" s="11">
        <f t="shared" si="16"/>
        <v>7.8472222222222165E-2</v>
      </c>
      <c r="Y155" t="s">
        <v>53</v>
      </c>
    </row>
    <row r="156" spans="1:25" outlineLevel="1" x14ac:dyDescent="0.15">
      <c r="A156" s="3">
        <v>36882</v>
      </c>
      <c r="B156" s="3" t="str">
        <f>VLOOKUP(F156, Aircraft!A$2:C$99, 2, FALSE)</f>
        <v>Archer-III</v>
      </c>
      <c r="C156" t="str">
        <f>VLOOKUP(F156, Aircraft!A$2:C$99, 3, FALSE)</f>
        <v>S</v>
      </c>
      <c r="D156" t="str">
        <f t="shared" si="17"/>
        <v>S</v>
      </c>
      <c r="E156" t="str">
        <f t="shared" si="18"/>
        <v>Archer-III</v>
      </c>
      <c r="F156" t="s">
        <v>54</v>
      </c>
      <c r="G156" t="s">
        <v>191</v>
      </c>
      <c r="H156" s="2" t="str">
        <f t="shared" si="19"/>
        <v>P1</v>
      </c>
      <c r="I156" t="s">
        <v>250</v>
      </c>
      <c r="J156" t="s">
        <v>250</v>
      </c>
      <c r="K156" s="4">
        <v>0.62847222222222221</v>
      </c>
      <c r="L156" s="4">
        <v>0.66111111111111109</v>
      </c>
      <c r="M156" s="11">
        <f t="shared" si="20"/>
        <v>3.2638888888888884E-2</v>
      </c>
      <c r="N156" s="11">
        <f t="shared" si="21"/>
        <v>0</v>
      </c>
      <c r="O156" s="11"/>
      <c r="P156" s="11"/>
      <c r="Q156" s="11"/>
      <c r="R156" s="11"/>
      <c r="S156" s="11"/>
      <c r="T156" s="11"/>
      <c r="U156" s="27">
        <v>0.4</v>
      </c>
      <c r="V156" s="11"/>
      <c r="X156" s="11">
        <f t="shared" si="16"/>
        <v>3.2638888888888884E-2</v>
      </c>
      <c r="Y156" t="s">
        <v>79</v>
      </c>
    </row>
    <row r="157" spans="1:25" outlineLevel="1" x14ac:dyDescent="0.15">
      <c r="A157" s="3">
        <v>36888</v>
      </c>
      <c r="B157" s="3" t="str">
        <f>VLOOKUP(F157, Aircraft!A$2:C$99, 2, FALSE)</f>
        <v>Archer-III</v>
      </c>
      <c r="C157" t="str">
        <f>VLOOKUP(F157, Aircraft!A$2:C$99, 3, FALSE)</f>
        <v>S</v>
      </c>
      <c r="D157" t="str">
        <f t="shared" si="17"/>
        <v>S</v>
      </c>
      <c r="E157" t="str">
        <f t="shared" si="18"/>
        <v>Archer-III</v>
      </c>
      <c r="F157" t="s">
        <v>54</v>
      </c>
      <c r="G157" t="s">
        <v>191</v>
      </c>
      <c r="H157" s="2" t="str">
        <f t="shared" si="19"/>
        <v>P1</v>
      </c>
      <c r="I157" t="s">
        <v>250</v>
      </c>
      <c r="J157" t="s">
        <v>150</v>
      </c>
      <c r="K157" s="4">
        <v>0.60416666666666663</v>
      </c>
      <c r="L157" s="4">
        <v>0.64930555555555558</v>
      </c>
      <c r="M157" s="11">
        <f t="shared" si="20"/>
        <v>4.5138888888888951E-2</v>
      </c>
      <c r="N157" s="11">
        <f t="shared" si="21"/>
        <v>0</v>
      </c>
      <c r="O157" s="11"/>
      <c r="P157" s="11"/>
      <c r="Q157" s="11"/>
      <c r="R157" s="11"/>
      <c r="S157" s="11"/>
      <c r="T157" s="11"/>
      <c r="U157" s="27">
        <v>0.9</v>
      </c>
      <c r="V157" s="11"/>
      <c r="X157" s="11">
        <f t="shared" si="16"/>
        <v>4.5138888888888951E-2</v>
      </c>
      <c r="Y157" t="s">
        <v>80</v>
      </c>
    </row>
    <row r="158" spans="1:25" outlineLevel="1" x14ac:dyDescent="0.15">
      <c r="A158" s="3">
        <v>36889</v>
      </c>
      <c r="B158" s="3" t="str">
        <f>VLOOKUP(F158, Aircraft!A$2:C$99, 2, FALSE)</f>
        <v>Archer-III</v>
      </c>
      <c r="C158" t="str">
        <f>VLOOKUP(F158, Aircraft!A$2:C$99, 3, FALSE)</f>
        <v>S</v>
      </c>
      <c r="D158" t="str">
        <f t="shared" si="17"/>
        <v>S</v>
      </c>
      <c r="E158" t="str">
        <f t="shared" si="18"/>
        <v>Archer-III</v>
      </c>
      <c r="F158" t="s">
        <v>54</v>
      </c>
      <c r="G158" t="s">
        <v>191</v>
      </c>
      <c r="H158" s="2" t="str">
        <f t="shared" si="19"/>
        <v>P1</v>
      </c>
      <c r="I158" t="s">
        <v>150</v>
      </c>
      <c r="J158" t="s">
        <v>250</v>
      </c>
      <c r="K158" s="4">
        <v>0.47569444444444442</v>
      </c>
      <c r="L158" s="4">
        <v>0.54166666666666663</v>
      </c>
      <c r="M158" s="11">
        <f t="shared" si="20"/>
        <v>6.597222222222221E-2</v>
      </c>
      <c r="N158" s="11">
        <f t="shared" si="21"/>
        <v>0</v>
      </c>
      <c r="O158" s="11"/>
      <c r="P158" s="11"/>
      <c r="Q158" s="11"/>
      <c r="R158" s="11"/>
      <c r="S158" s="11"/>
      <c r="T158" s="11"/>
      <c r="V158" s="11"/>
      <c r="X158" s="11">
        <f t="shared" si="16"/>
        <v>6.597222222222221E-2</v>
      </c>
    </row>
    <row r="159" spans="1:25" outlineLevel="1" x14ac:dyDescent="0.15">
      <c r="A159" s="3">
        <v>36889</v>
      </c>
      <c r="B159" s="3" t="str">
        <f>VLOOKUP(F159, Aircraft!A$2:C$99, 2, FALSE)</f>
        <v>PA28-235</v>
      </c>
      <c r="C159" t="str">
        <f>VLOOKUP(F159, Aircraft!A$2:C$99, 3, FALSE)</f>
        <v>S</v>
      </c>
      <c r="D159" t="str">
        <f t="shared" si="17"/>
        <v>S</v>
      </c>
      <c r="E159" t="str">
        <f t="shared" si="18"/>
        <v>PA28-235</v>
      </c>
      <c r="F159" t="s">
        <v>490</v>
      </c>
      <c r="G159" t="s">
        <v>204</v>
      </c>
      <c r="H159" s="2" t="str">
        <f t="shared" si="19"/>
        <v>PUT</v>
      </c>
      <c r="I159" t="s">
        <v>250</v>
      </c>
      <c r="J159" t="s">
        <v>250</v>
      </c>
      <c r="K159" s="4">
        <v>0.71180555555555547</v>
      </c>
      <c r="L159" s="4">
        <v>0.77777777777777779</v>
      </c>
      <c r="M159" s="11">
        <f t="shared" si="20"/>
        <v>0</v>
      </c>
      <c r="O159" s="11"/>
      <c r="P159" s="11"/>
      <c r="Q159" s="11"/>
      <c r="R159" s="11">
        <f>IF(AND(H159="PUT", D159="S"), L159-K159, 0)</f>
        <v>6.5972222222222321E-2</v>
      </c>
      <c r="S159" s="11"/>
      <c r="T159" s="11"/>
      <c r="V159" s="11"/>
      <c r="X159" s="11">
        <f t="shared" si="16"/>
        <v>6.5972222222222321E-2</v>
      </c>
      <c r="Y159" t="s">
        <v>375</v>
      </c>
    </row>
    <row r="160" spans="1:25" outlineLevel="1" x14ac:dyDescent="0.15">
      <c r="A160" s="3">
        <v>36890</v>
      </c>
      <c r="B160" s="3" t="str">
        <f>VLOOKUP(F160, Aircraft!A$2:C$99, 2, FALSE)</f>
        <v>PA28-235</v>
      </c>
      <c r="C160" t="str">
        <f>VLOOKUP(F160, Aircraft!A$2:C$99, 3, FALSE)</f>
        <v>S</v>
      </c>
      <c r="D160" t="str">
        <f t="shared" si="17"/>
        <v>S</v>
      </c>
      <c r="E160" t="str">
        <f t="shared" si="18"/>
        <v>PA28-235</v>
      </c>
      <c r="F160" t="s">
        <v>490</v>
      </c>
      <c r="G160" t="s">
        <v>191</v>
      </c>
      <c r="H160" s="2" t="str">
        <f t="shared" si="19"/>
        <v>P1</v>
      </c>
      <c r="I160" t="s">
        <v>250</v>
      </c>
      <c r="J160" t="s">
        <v>250</v>
      </c>
      <c r="K160" s="4">
        <v>0.70138888888888884</v>
      </c>
      <c r="L160" s="4">
        <v>0.73611111111111116</v>
      </c>
      <c r="N160" s="11">
        <f>IF(AND(H160="PUT", D160="S"), L160-K160, 0)</f>
        <v>0</v>
      </c>
      <c r="O160" s="11"/>
      <c r="P160" s="11"/>
      <c r="Q160" s="11">
        <f>IF(AND(H160="P1", D160="S"), L160-K160, 0)</f>
        <v>3.4722222222222321E-2</v>
      </c>
      <c r="R160" s="11"/>
      <c r="S160" s="11"/>
      <c r="T160" s="11"/>
      <c r="V160" s="11"/>
      <c r="X160" s="11">
        <f t="shared" si="16"/>
        <v>3.4722222222222321E-2</v>
      </c>
      <c r="Y160" t="s">
        <v>375</v>
      </c>
    </row>
    <row r="161" spans="1:25" x14ac:dyDescent="0.15">
      <c r="O161" s="11"/>
      <c r="P161" s="11"/>
      <c r="Q161" s="11"/>
      <c r="R161" s="11"/>
      <c r="S161" s="11"/>
      <c r="T161" s="11"/>
      <c r="V161" s="11"/>
      <c r="X161" s="11"/>
    </row>
    <row r="162" spans="1:25" outlineLevel="1" x14ac:dyDescent="0.15">
      <c r="A162" s="3">
        <v>36892</v>
      </c>
      <c r="B162" s="3" t="str">
        <f>VLOOKUP(F162, Aircraft!A$2:C$99, 2, FALSE)</f>
        <v>Archer-III</v>
      </c>
      <c r="C162" t="str">
        <f>VLOOKUP(F162, Aircraft!A$2:C$99, 3, FALSE)</f>
        <v>S</v>
      </c>
      <c r="D162" t="str">
        <f t="shared" si="17"/>
        <v>S</v>
      </c>
      <c r="E162" t="str">
        <f t="shared" si="18"/>
        <v>Archer-III</v>
      </c>
      <c r="F162" t="s">
        <v>54</v>
      </c>
      <c r="G162" t="s">
        <v>191</v>
      </c>
      <c r="H162" s="2" t="str">
        <f t="shared" si="19"/>
        <v>P1</v>
      </c>
      <c r="I162" t="s">
        <v>250</v>
      </c>
      <c r="J162" t="s">
        <v>250</v>
      </c>
      <c r="K162" s="4">
        <v>0.51388888888888895</v>
      </c>
      <c r="L162" s="4">
        <v>0.56597222222222221</v>
      </c>
      <c r="M162" s="11">
        <f t="shared" ref="M162:M168" si="22">IF(AND(H162="P1", D162="S"), L162-K162, 0)</f>
        <v>5.2083333333333259E-2</v>
      </c>
      <c r="N162" s="11">
        <f>IF(AND(H162="PUT", D162="S"), L162-K162, 0)</f>
        <v>0</v>
      </c>
      <c r="O162" s="11"/>
      <c r="P162" s="11"/>
      <c r="Q162" s="11"/>
      <c r="R162" s="11"/>
      <c r="S162" s="11"/>
      <c r="T162" s="11"/>
      <c r="U162" s="27">
        <v>0.9</v>
      </c>
      <c r="V162" s="11"/>
      <c r="X162" s="11">
        <f t="shared" si="16"/>
        <v>5.2083333333333259E-2</v>
      </c>
      <c r="Y162" t="s">
        <v>376</v>
      </c>
    </row>
    <row r="163" spans="1:25" outlineLevel="1" x14ac:dyDescent="0.15">
      <c r="A163" s="3">
        <v>36895</v>
      </c>
      <c r="B163" s="3" t="str">
        <f>VLOOKUP(F163, Aircraft!A$2:C$99, 2, FALSE)</f>
        <v>PA34</v>
      </c>
      <c r="C163" t="str">
        <f>VLOOKUP(F163, Aircraft!A$2:C$99, 3, FALSE)</f>
        <v>T</v>
      </c>
      <c r="D163" t="str">
        <f t="shared" si="17"/>
        <v>T</v>
      </c>
      <c r="E163" t="str">
        <f t="shared" si="18"/>
        <v>PA34</v>
      </c>
      <c r="F163" t="s">
        <v>572</v>
      </c>
      <c r="G163" t="s">
        <v>191</v>
      </c>
      <c r="H163" s="2" t="str">
        <f t="shared" si="19"/>
        <v>P1</v>
      </c>
      <c r="I163" t="s">
        <v>147</v>
      </c>
      <c r="J163" t="s">
        <v>250</v>
      </c>
      <c r="K163" s="4">
        <v>0.41666666666666669</v>
      </c>
      <c r="L163" s="4">
        <v>0.52152777777777781</v>
      </c>
      <c r="M163" s="11">
        <f t="shared" si="22"/>
        <v>0</v>
      </c>
      <c r="N163" s="11">
        <f>IF(AND(H163="PUT", D163="S"), L163-K163, 0)</f>
        <v>0</v>
      </c>
      <c r="O163" s="11">
        <f>IF(AND(H163="P1", D163="T"), L163-K163, 0)</f>
        <v>0.10486111111111113</v>
      </c>
      <c r="P163" s="11">
        <f>IF(AND(H163="PUT", D163="T"), L163-K163, 0)</f>
        <v>0</v>
      </c>
      <c r="Q163" s="11"/>
      <c r="R163" s="11"/>
      <c r="S163" s="11"/>
      <c r="T163" s="11"/>
      <c r="V163" s="11"/>
      <c r="X163" s="11">
        <f t="shared" si="16"/>
        <v>0.10486111111111113</v>
      </c>
      <c r="Y163" t="s">
        <v>87</v>
      </c>
    </row>
    <row r="164" spans="1:25" outlineLevel="1" x14ac:dyDescent="0.15">
      <c r="A164" s="3">
        <v>36933</v>
      </c>
      <c r="B164" s="3" t="str">
        <f>VLOOKUP(F164, Aircraft!A$2:C$99, 2, FALSE)</f>
        <v>Archer-III</v>
      </c>
      <c r="C164" t="str">
        <f>VLOOKUP(F164, Aircraft!A$2:C$99, 3, FALSE)</f>
        <v>S</v>
      </c>
      <c r="D164" t="str">
        <f t="shared" si="17"/>
        <v>S</v>
      </c>
      <c r="E164" t="str">
        <f t="shared" si="18"/>
        <v>Archer-III</v>
      </c>
      <c r="F164" t="s">
        <v>54</v>
      </c>
      <c r="G164" t="s">
        <v>191</v>
      </c>
      <c r="H164" s="2" t="str">
        <f t="shared" si="19"/>
        <v>P1</v>
      </c>
      <c r="I164" t="s">
        <v>250</v>
      </c>
      <c r="J164" t="s">
        <v>250</v>
      </c>
      <c r="K164" s="4">
        <v>0.58333333333333337</v>
      </c>
      <c r="L164" s="4">
        <v>0.61458333333333337</v>
      </c>
      <c r="M164" s="11">
        <f t="shared" si="22"/>
        <v>3.125E-2</v>
      </c>
      <c r="N164" s="11">
        <f>IF(AND(H164="PUT", D164="S"), L164-K164, 0)</f>
        <v>0</v>
      </c>
      <c r="O164" s="11"/>
      <c r="P164" s="11"/>
      <c r="Q164" s="11"/>
      <c r="R164" s="11"/>
      <c r="S164" s="11"/>
      <c r="T164" s="11"/>
      <c r="U164" s="27">
        <v>0.4</v>
      </c>
      <c r="V164" s="11"/>
      <c r="X164" s="11">
        <f t="shared" si="16"/>
        <v>3.125E-2</v>
      </c>
      <c r="Y164" t="s">
        <v>377</v>
      </c>
    </row>
    <row r="165" spans="1:25" outlineLevel="1" x14ac:dyDescent="0.15">
      <c r="A165" s="3">
        <v>36938</v>
      </c>
      <c r="B165" s="3" t="str">
        <f>VLOOKUP(F165, Aircraft!A$2:C$99, 2, FALSE)</f>
        <v>PA28-235</v>
      </c>
      <c r="C165" t="str">
        <f>VLOOKUP(F165, Aircraft!A$2:C$99, 3, FALSE)</f>
        <v>S</v>
      </c>
      <c r="D165" t="str">
        <f t="shared" si="17"/>
        <v>S</v>
      </c>
      <c r="E165" t="str">
        <f t="shared" si="18"/>
        <v>PA28-235</v>
      </c>
      <c r="F165" t="s">
        <v>490</v>
      </c>
      <c r="G165" t="s">
        <v>204</v>
      </c>
      <c r="H165" s="2" t="str">
        <f t="shared" si="19"/>
        <v>PUT</v>
      </c>
      <c r="I165" t="s">
        <v>250</v>
      </c>
      <c r="J165" t="s">
        <v>250</v>
      </c>
      <c r="K165" s="4">
        <v>0.73958333333333337</v>
      </c>
      <c r="L165" s="4">
        <v>0.79166666666666663</v>
      </c>
      <c r="M165" s="11">
        <f t="shared" si="22"/>
        <v>0</v>
      </c>
      <c r="O165" s="11"/>
      <c r="P165" s="11"/>
      <c r="Q165" s="11"/>
      <c r="R165" s="11">
        <f>IF(AND(H165="PUT", D165="S"), L165-K165, 0)</f>
        <v>5.2083333333333259E-2</v>
      </c>
      <c r="S165" s="11"/>
      <c r="T165" s="11"/>
      <c r="V165" s="11"/>
      <c r="X165" s="11">
        <f t="shared" si="16"/>
        <v>5.2083333333333259E-2</v>
      </c>
      <c r="Y165" t="s">
        <v>214</v>
      </c>
    </row>
    <row r="166" spans="1:25" outlineLevel="1" x14ac:dyDescent="0.15">
      <c r="A166" s="3">
        <v>36939</v>
      </c>
      <c r="B166" s="3" t="str">
        <f>VLOOKUP(F166, Aircraft!A$2:C$99, 2, FALSE)</f>
        <v>PA-32RT</v>
      </c>
      <c r="C166" t="str">
        <f>VLOOKUP(F166, Aircraft!A$2:C$99, 3, FALSE)</f>
        <v>S</v>
      </c>
      <c r="D166" t="str">
        <f t="shared" si="17"/>
        <v>S</v>
      </c>
      <c r="E166" t="str">
        <f t="shared" si="18"/>
        <v>PA-32RT</v>
      </c>
      <c r="F166" t="s">
        <v>378</v>
      </c>
      <c r="G166" t="s">
        <v>204</v>
      </c>
      <c r="H166" s="2" t="str">
        <f t="shared" si="19"/>
        <v>PUT</v>
      </c>
      <c r="I166" t="s">
        <v>250</v>
      </c>
      <c r="J166" t="s">
        <v>250</v>
      </c>
      <c r="K166" s="4">
        <v>0.46180555555555558</v>
      </c>
      <c r="L166" s="4">
        <v>0.50347222222222221</v>
      </c>
      <c r="M166" s="11">
        <f t="shared" si="22"/>
        <v>0</v>
      </c>
      <c r="N166" s="11">
        <f>IF(AND(H166="PUT", D166="S"), L166-K166, 0)</f>
        <v>4.166666666666663E-2</v>
      </c>
      <c r="O166" s="11"/>
      <c r="P166" s="11"/>
      <c r="Q166" s="11"/>
      <c r="R166" s="11"/>
      <c r="S166" s="11"/>
      <c r="T166" s="11"/>
      <c r="V166" s="11"/>
      <c r="X166" s="11">
        <f t="shared" si="16"/>
        <v>4.166666666666663E-2</v>
      </c>
      <c r="Y166" t="s">
        <v>215</v>
      </c>
    </row>
    <row r="167" spans="1:25" outlineLevel="1" x14ac:dyDescent="0.15">
      <c r="A167" s="3">
        <v>36939</v>
      </c>
      <c r="B167" s="3" t="str">
        <f>VLOOKUP(F167, Aircraft!A$2:C$99, 2, FALSE)</f>
        <v>PA-32RT</v>
      </c>
      <c r="C167" t="str">
        <f>VLOOKUP(F167, Aircraft!A$2:C$99, 3, FALSE)</f>
        <v>S</v>
      </c>
      <c r="D167" t="str">
        <f t="shared" si="17"/>
        <v>S</v>
      </c>
      <c r="E167" t="str">
        <f t="shared" si="18"/>
        <v>PA-32RT</v>
      </c>
      <c r="F167" t="s">
        <v>378</v>
      </c>
      <c r="G167" t="s">
        <v>191</v>
      </c>
      <c r="H167" s="2" t="str">
        <f t="shared" si="19"/>
        <v>P1</v>
      </c>
      <c r="I167" t="s">
        <v>250</v>
      </c>
      <c r="J167" t="s">
        <v>250</v>
      </c>
      <c r="K167" s="15">
        <v>0.60416666666666663</v>
      </c>
      <c r="L167" s="4">
        <v>0.67013888888888884</v>
      </c>
      <c r="M167" s="11">
        <f t="shared" si="22"/>
        <v>6.597222222222221E-2</v>
      </c>
      <c r="N167" s="11">
        <f t="shared" si="12"/>
        <v>0</v>
      </c>
      <c r="O167" s="11"/>
      <c r="P167" s="11"/>
      <c r="Q167" s="11"/>
      <c r="R167" s="11"/>
      <c r="S167" s="11"/>
      <c r="T167" s="11"/>
      <c r="V167" s="11"/>
      <c r="X167" s="11">
        <f t="shared" si="16"/>
        <v>6.597222222222221E-2</v>
      </c>
      <c r="Y167" t="s">
        <v>213</v>
      </c>
    </row>
    <row r="168" spans="1:25" outlineLevel="1" x14ac:dyDescent="0.15">
      <c r="A168" s="3">
        <v>36939</v>
      </c>
      <c r="B168" s="3" t="str">
        <f>VLOOKUP(F168, Aircraft!A$2:C$99, 2, FALSE)</f>
        <v>PA-32RT</v>
      </c>
      <c r="C168" t="str">
        <f>VLOOKUP(F168, Aircraft!A$2:C$99, 3, FALSE)</f>
        <v>S</v>
      </c>
      <c r="D168" t="str">
        <f t="shared" si="17"/>
        <v>S</v>
      </c>
      <c r="E168" t="str">
        <f t="shared" si="18"/>
        <v>PA-32RT</v>
      </c>
      <c r="F168" t="s">
        <v>378</v>
      </c>
      <c r="G168" t="s">
        <v>204</v>
      </c>
      <c r="H168" s="2" t="str">
        <f t="shared" si="19"/>
        <v>PUT</v>
      </c>
      <c r="I168" t="s">
        <v>250</v>
      </c>
      <c r="J168" t="s">
        <v>250</v>
      </c>
      <c r="K168" s="4">
        <v>0.73958333333333337</v>
      </c>
      <c r="L168" s="4">
        <v>0.75694444444444453</v>
      </c>
      <c r="M168" s="11">
        <f t="shared" si="22"/>
        <v>0</v>
      </c>
      <c r="O168" s="11"/>
      <c r="P168" s="11"/>
      <c r="Q168" s="11"/>
      <c r="R168" s="11">
        <f>IF(AND(H168="PUT", D168="S"), L168-K168, 0)</f>
        <v>1.736111111111116E-2</v>
      </c>
      <c r="S168" s="11"/>
      <c r="T168" s="11"/>
      <c r="V168" s="11"/>
      <c r="X168" s="11">
        <f t="shared" si="16"/>
        <v>1.736111111111116E-2</v>
      </c>
      <c r="Y168" t="s">
        <v>81</v>
      </c>
    </row>
    <row r="169" spans="1:25" outlineLevel="1" x14ac:dyDescent="0.15">
      <c r="A169" s="3">
        <v>36939</v>
      </c>
      <c r="B169" s="3" t="str">
        <f>VLOOKUP(F169, Aircraft!A$2:C$99, 2, FALSE)</f>
        <v>PA-32RT</v>
      </c>
      <c r="C169" t="str">
        <f>VLOOKUP(F169, Aircraft!A$2:C$99, 3, FALSE)</f>
        <v>S</v>
      </c>
      <c r="D169" t="str">
        <f t="shared" si="17"/>
        <v>S</v>
      </c>
      <c r="E169" t="str">
        <f t="shared" si="18"/>
        <v>PA-32RT</v>
      </c>
      <c r="F169" t="s">
        <v>378</v>
      </c>
      <c r="G169" t="s">
        <v>191</v>
      </c>
      <c r="H169" s="2" t="str">
        <f t="shared" si="19"/>
        <v>P1</v>
      </c>
      <c r="I169" t="s">
        <v>250</v>
      </c>
      <c r="J169" t="s">
        <v>147</v>
      </c>
      <c r="K169" s="4">
        <v>0.75694444444444453</v>
      </c>
      <c r="L169" s="4">
        <v>0.85902777777777783</v>
      </c>
      <c r="N169" s="11">
        <f t="shared" ref="N169:N205" si="23">IF(AND(H169="PUT", D169="S"), L169-K169, 0)</f>
        <v>0</v>
      </c>
      <c r="O169" s="11"/>
      <c r="P169" s="11"/>
      <c r="Q169" s="11">
        <f>IF(AND(H169="P1", D169="S"), L169-K169, 0)</f>
        <v>0.1020833333333333</v>
      </c>
      <c r="R169" s="11"/>
      <c r="S169" s="11"/>
      <c r="T169" s="11"/>
      <c r="V169" s="11"/>
      <c r="X169" s="11">
        <f t="shared" si="16"/>
        <v>0.1020833333333333</v>
      </c>
      <c r="Y169" t="s">
        <v>82</v>
      </c>
    </row>
    <row r="170" spans="1:25" outlineLevel="1" x14ac:dyDescent="0.15">
      <c r="A170" s="3">
        <v>36940</v>
      </c>
      <c r="B170" s="3" t="str">
        <f>VLOOKUP(F170, Aircraft!A$2:C$99, 2, FALSE)</f>
        <v>PA-32RT</v>
      </c>
      <c r="C170" t="str">
        <f>VLOOKUP(F170, Aircraft!A$2:C$99, 3, FALSE)</f>
        <v>S</v>
      </c>
      <c r="D170" t="str">
        <f t="shared" si="17"/>
        <v>S</v>
      </c>
      <c r="E170" t="str">
        <f t="shared" si="18"/>
        <v>PA-32RT</v>
      </c>
      <c r="F170" t="s">
        <v>378</v>
      </c>
      <c r="G170" t="s">
        <v>191</v>
      </c>
      <c r="H170" s="2" t="str">
        <f t="shared" si="19"/>
        <v>P1</v>
      </c>
      <c r="I170" t="s">
        <v>147</v>
      </c>
      <c r="J170" t="s">
        <v>250</v>
      </c>
      <c r="K170" s="4">
        <v>0.43055555555555558</v>
      </c>
      <c r="L170" s="4">
        <v>0.52083333333333337</v>
      </c>
      <c r="M170" s="11">
        <f t="shared" ref="M170:M200" si="24">IF(AND(H170="P1", D170="S"), L170-K170, 0)</f>
        <v>9.027777777777779E-2</v>
      </c>
      <c r="N170" s="11">
        <f t="shared" si="23"/>
        <v>0</v>
      </c>
      <c r="O170" s="11"/>
      <c r="P170" s="11"/>
      <c r="Q170" s="11"/>
      <c r="R170" s="11"/>
      <c r="S170" s="11"/>
      <c r="T170" s="11"/>
      <c r="U170" s="27">
        <v>1.8</v>
      </c>
      <c r="V170" s="11"/>
      <c r="X170" s="11">
        <f t="shared" si="16"/>
        <v>9.027777777777779E-2</v>
      </c>
      <c r="Y170" t="s">
        <v>212</v>
      </c>
    </row>
    <row r="171" spans="1:25" outlineLevel="1" x14ac:dyDescent="0.15">
      <c r="A171" s="3">
        <v>36997</v>
      </c>
      <c r="B171" s="3" t="str">
        <f>VLOOKUP(F171, Aircraft!A$2:C$99, 2, FALSE)</f>
        <v>PA28</v>
      </c>
      <c r="C171" t="str">
        <f>VLOOKUP(F171, Aircraft!A$2:C$99, 3, FALSE)</f>
        <v>S</v>
      </c>
      <c r="D171" t="str">
        <f t="shared" si="17"/>
        <v>S</v>
      </c>
      <c r="E171" t="str">
        <f t="shared" si="18"/>
        <v>PA28</v>
      </c>
      <c r="F171" t="s">
        <v>187</v>
      </c>
      <c r="G171" t="s">
        <v>191</v>
      </c>
      <c r="H171" s="2" t="str">
        <f t="shared" si="19"/>
        <v>P1</v>
      </c>
      <c r="I171" t="s">
        <v>250</v>
      </c>
      <c r="J171" t="s">
        <v>250</v>
      </c>
      <c r="K171" s="4">
        <v>0.54861111111111105</v>
      </c>
      <c r="L171" s="4">
        <v>0.59722222222222221</v>
      </c>
      <c r="M171" s="11">
        <f t="shared" si="24"/>
        <v>4.861111111111116E-2</v>
      </c>
      <c r="N171" s="11">
        <f t="shared" si="23"/>
        <v>0</v>
      </c>
      <c r="O171" s="11"/>
      <c r="P171" s="11"/>
      <c r="Q171" s="11"/>
      <c r="R171" s="11"/>
      <c r="S171" s="11"/>
      <c r="T171" s="11"/>
      <c r="V171" s="11"/>
      <c r="X171" s="11">
        <f t="shared" si="16"/>
        <v>4.861111111111116E-2</v>
      </c>
      <c r="Y171" t="s">
        <v>401</v>
      </c>
    </row>
    <row r="172" spans="1:25" outlineLevel="1" x14ac:dyDescent="0.15">
      <c r="A172" s="3">
        <v>36997</v>
      </c>
      <c r="B172" s="3" t="str">
        <f>VLOOKUP(F172, Aircraft!A$2:C$99, 2, FALSE)</f>
        <v>Archer-III</v>
      </c>
      <c r="C172" t="str">
        <f>VLOOKUP(F172, Aircraft!A$2:C$99, 3, FALSE)</f>
        <v>S</v>
      </c>
      <c r="D172" t="str">
        <f t="shared" si="17"/>
        <v>S</v>
      </c>
      <c r="E172" t="str">
        <f t="shared" si="18"/>
        <v>Archer-III</v>
      </c>
      <c r="F172" t="s">
        <v>54</v>
      </c>
      <c r="G172" t="s">
        <v>191</v>
      </c>
      <c r="H172" s="2" t="str">
        <f t="shared" si="19"/>
        <v>P1</v>
      </c>
      <c r="I172" t="s">
        <v>250</v>
      </c>
      <c r="J172" t="s">
        <v>24</v>
      </c>
      <c r="K172" s="4">
        <v>0.63680555555555551</v>
      </c>
      <c r="L172" s="4">
        <v>0.69097222222222221</v>
      </c>
      <c r="M172" s="11">
        <f t="shared" si="24"/>
        <v>5.4166666666666696E-2</v>
      </c>
      <c r="N172" s="11">
        <f t="shared" si="23"/>
        <v>0</v>
      </c>
      <c r="O172" s="11"/>
      <c r="P172" s="11"/>
      <c r="Q172" s="11"/>
      <c r="R172" s="11"/>
      <c r="S172" s="11"/>
      <c r="T172" s="11"/>
      <c r="V172" s="11"/>
      <c r="X172" s="11">
        <f t="shared" si="16"/>
        <v>5.4166666666666696E-2</v>
      </c>
    </row>
    <row r="173" spans="1:25" outlineLevel="1" x14ac:dyDescent="0.15">
      <c r="A173" s="3">
        <v>36997</v>
      </c>
      <c r="B173" s="3" t="str">
        <f>VLOOKUP(F173, Aircraft!A$2:C$99, 2, FALSE)</f>
        <v>Archer-III</v>
      </c>
      <c r="C173" t="str">
        <f>VLOOKUP(F173, Aircraft!A$2:C$99, 3, FALSE)</f>
        <v>S</v>
      </c>
      <c r="D173" t="str">
        <f t="shared" si="17"/>
        <v>S</v>
      </c>
      <c r="E173" t="str">
        <f t="shared" si="18"/>
        <v>Archer-III</v>
      </c>
      <c r="F173" t="s">
        <v>54</v>
      </c>
      <c r="G173" t="s">
        <v>191</v>
      </c>
      <c r="H173" s="2" t="str">
        <f t="shared" si="19"/>
        <v>P1</v>
      </c>
      <c r="I173" t="s">
        <v>24</v>
      </c>
      <c r="J173" t="s">
        <v>250</v>
      </c>
      <c r="K173" s="4">
        <v>0.70833333333333337</v>
      </c>
      <c r="L173" s="4">
        <v>0.7729166666666667</v>
      </c>
      <c r="M173" s="11">
        <f t="shared" si="24"/>
        <v>6.4583333333333326E-2</v>
      </c>
      <c r="N173" s="11">
        <f t="shared" si="23"/>
        <v>0</v>
      </c>
      <c r="O173" s="11"/>
      <c r="P173" s="11"/>
      <c r="Q173" s="11"/>
      <c r="R173" s="11"/>
      <c r="S173" s="11"/>
      <c r="T173" s="11"/>
      <c r="V173" s="11"/>
      <c r="X173" s="11">
        <f t="shared" si="16"/>
        <v>6.4583333333333326E-2</v>
      </c>
    </row>
    <row r="174" spans="1:25" outlineLevel="1" x14ac:dyDescent="0.15">
      <c r="A174" s="3">
        <v>37001</v>
      </c>
      <c r="B174" s="3" t="str">
        <f>VLOOKUP(F174, Aircraft!A$2:C$99, 2, FALSE)</f>
        <v>PA-32RT</v>
      </c>
      <c r="C174" t="str">
        <f>VLOOKUP(F174, Aircraft!A$2:C$99, 3, FALSE)</f>
        <v>S</v>
      </c>
      <c r="D174" t="str">
        <f t="shared" si="17"/>
        <v>S</v>
      </c>
      <c r="E174" t="str">
        <f t="shared" si="18"/>
        <v>PA-32RT</v>
      </c>
      <c r="F174" t="s">
        <v>378</v>
      </c>
      <c r="G174" t="s">
        <v>191</v>
      </c>
      <c r="H174" s="2" t="str">
        <f t="shared" si="19"/>
        <v>P1</v>
      </c>
      <c r="I174" t="s">
        <v>250</v>
      </c>
      <c r="J174" t="s">
        <v>73</v>
      </c>
      <c r="K174" s="4">
        <v>0.49652777777777773</v>
      </c>
      <c r="L174" s="4">
        <v>0.55208333333333337</v>
      </c>
      <c r="M174" s="11">
        <f t="shared" si="24"/>
        <v>5.5555555555555636E-2</v>
      </c>
      <c r="N174" s="11">
        <f t="shared" si="23"/>
        <v>0</v>
      </c>
      <c r="O174" s="11"/>
      <c r="P174" s="11"/>
      <c r="Q174" s="11"/>
      <c r="R174" s="11"/>
      <c r="S174" s="11"/>
      <c r="T174" s="11"/>
      <c r="U174" s="27">
        <v>1</v>
      </c>
      <c r="V174" s="11"/>
      <c r="X174" s="11">
        <f t="shared" si="16"/>
        <v>5.5555555555555636E-2</v>
      </c>
      <c r="Y174" t="s">
        <v>537</v>
      </c>
    </row>
    <row r="175" spans="1:25" outlineLevel="1" x14ac:dyDescent="0.15">
      <c r="A175" s="3">
        <v>37001</v>
      </c>
      <c r="B175" s="3" t="str">
        <f>VLOOKUP(F175, Aircraft!A$2:C$99, 2, FALSE)</f>
        <v>PA-32RT</v>
      </c>
      <c r="C175" t="str">
        <f>VLOOKUP(F175, Aircraft!A$2:C$99, 3, FALSE)</f>
        <v>S</v>
      </c>
      <c r="D175" t="str">
        <f t="shared" si="17"/>
        <v>S</v>
      </c>
      <c r="E175" t="str">
        <f t="shared" si="18"/>
        <v>PA-32RT</v>
      </c>
      <c r="F175" t="s">
        <v>378</v>
      </c>
      <c r="G175" t="s">
        <v>191</v>
      </c>
      <c r="H175" s="2" t="str">
        <f t="shared" si="19"/>
        <v>P1</v>
      </c>
      <c r="I175" t="s">
        <v>11</v>
      </c>
      <c r="J175" t="s">
        <v>250</v>
      </c>
      <c r="K175" s="4">
        <v>0.59375</v>
      </c>
      <c r="L175" s="4">
        <v>0.625</v>
      </c>
      <c r="M175" s="11">
        <f t="shared" si="24"/>
        <v>3.125E-2</v>
      </c>
      <c r="N175" s="11">
        <f t="shared" si="23"/>
        <v>0</v>
      </c>
      <c r="O175" s="11"/>
      <c r="P175" s="11"/>
      <c r="Q175" s="11"/>
      <c r="R175" s="11"/>
      <c r="S175" s="11"/>
      <c r="T175" s="11"/>
      <c r="V175" s="11"/>
      <c r="X175" s="11">
        <f t="shared" si="16"/>
        <v>3.125E-2</v>
      </c>
    </row>
    <row r="176" spans="1:25" outlineLevel="1" x14ac:dyDescent="0.15">
      <c r="A176" s="3">
        <v>37024</v>
      </c>
      <c r="B176" s="3" t="str">
        <f>VLOOKUP(F176, Aircraft!A$2:C$99, 2, FALSE)</f>
        <v>PA28-235</v>
      </c>
      <c r="C176" t="str">
        <f>VLOOKUP(F176, Aircraft!A$2:C$99, 3, FALSE)</f>
        <v>S</v>
      </c>
      <c r="D176" t="str">
        <f t="shared" si="17"/>
        <v>S</v>
      </c>
      <c r="E176" t="str">
        <f t="shared" si="18"/>
        <v>PA28-235</v>
      </c>
      <c r="F176" t="s">
        <v>490</v>
      </c>
      <c r="G176" t="s">
        <v>204</v>
      </c>
      <c r="H176" s="2" t="str">
        <f t="shared" si="19"/>
        <v>PUT</v>
      </c>
      <c r="I176" t="s">
        <v>250</v>
      </c>
      <c r="J176" t="s">
        <v>250</v>
      </c>
      <c r="K176" s="4">
        <v>0.40972222222222227</v>
      </c>
      <c r="L176" s="4">
        <v>0.43402777777777773</v>
      </c>
      <c r="M176" s="11">
        <f t="shared" si="24"/>
        <v>0</v>
      </c>
      <c r="N176" s="11">
        <f t="shared" si="23"/>
        <v>2.4305555555555469E-2</v>
      </c>
      <c r="O176" s="11"/>
      <c r="P176" s="11"/>
      <c r="Q176" s="11"/>
      <c r="R176" s="11"/>
      <c r="S176" s="11"/>
      <c r="T176" s="11"/>
      <c r="V176" s="11"/>
      <c r="X176" s="11">
        <f t="shared" si="16"/>
        <v>2.4305555555555469E-2</v>
      </c>
      <c r="Y176" t="s">
        <v>492</v>
      </c>
    </row>
    <row r="177" spans="1:25" outlineLevel="1" x14ac:dyDescent="0.15">
      <c r="A177" s="3">
        <v>37030</v>
      </c>
      <c r="B177" s="3" t="str">
        <f>VLOOKUP(F177, Aircraft!A$2:C$99, 2, FALSE)</f>
        <v>PA-32RT</v>
      </c>
      <c r="C177" t="str">
        <f>VLOOKUP(F177, Aircraft!A$2:C$99, 3, FALSE)</f>
        <v>S</v>
      </c>
      <c r="D177" t="str">
        <f t="shared" si="17"/>
        <v>S</v>
      </c>
      <c r="E177" t="str">
        <f t="shared" si="18"/>
        <v>PA-32RT</v>
      </c>
      <c r="F177" t="s">
        <v>378</v>
      </c>
      <c r="G177" t="s">
        <v>191</v>
      </c>
      <c r="H177" s="2" t="str">
        <f t="shared" si="19"/>
        <v>P1</v>
      </c>
      <c r="I177" t="s">
        <v>250</v>
      </c>
      <c r="J177" t="s">
        <v>76</v>
      </c>
      <c r="K177" s="4">
        <v>0.54166666666666663</v>
      </c>
      <c r="L177" s="4">
        <v>0.57986111111111105</v>
      </c>
      <c r="M177" s="11">
        <f t="shared" si="24"/>
        <v>3.819444444444442E-2</v>
      </c>
      <c r="N177" s="11">
        <f t="shared" si="23"/>
        <v>0</v>
      </c>
      <c r="O177" s="11"/>
      <c r="P177" s="11"/>
      <c r="Q177" s="11"/>
      <c r="R177" s="11"/>
      <c r="S177" s="11"/>
      <c r="T177" s="11"/>
      <c r="V177" s="11"/>
      <c r="X177" s="11">
        <f t="shared" si="16"/>
        <v>3.819444444444442E-2</v>
      </c>
    </row>
    <row r="178" spans="1:25" outlineLevel="1" x14ac:dyDescent="0.15">
      <c r="A178" s="3">
        <v>37030</v>
      </c>
      <c r="B178" s="3" t="str">
        <f>VLOOKUP(F178, Aircraft!A$2:C$99, 2, FALSE)</f>
        <v>PA-32RT</v>
      </c>
      <c r="C178" t="str">
        <f>VLOOKUP(F178, Aircraft!A$2:C$99, 3, FALSE)</f>
        <v>S</v>
      </c>
      <c r="D178" t="str">
        <f t="shared" si="17"/>
        <v>S</v>
      </c>
      <c r="E178" t="str">
        <f t="shared" si="18"/>
        <v>PA-32RT</v>
      </c>
      <c r="F178" t="s">
        <v>378</v>
      </c>
      <c r="G178" t="s">
        <v>191</v>
      </c>
      <c r="H178" s="2" t="str">
        <f t="shared" si="19"/>
        <v>P1</v>
      </c>
      <c r="I178" t="s">
        <v>148</v>
      </c>
      <c r="J178" t="s">
        <v>250</v>
      </c>
      <c r="K178" s="4">
        <v>0.58333333333333337</v>
      </c>
      <c r="L178" s="4">
        <v>0.62152777777777779</v>
      </c>
      <c r="M178" s="11">
        <f t="shared" si="24"/>
        <v>3.819444444444442E-2</v>
      </c>
      <c r="N178" s="11">
        <f t="shared" si="23"/>
        <v>0</v>
      </c>
      <c r="O178" s="11"/>
      <c r="P178" s="11"/>
      <c r="Q178" s="11"/>
      <c r="R178" s="11"/>
      <c r="S178" s="11"/>
      <c r="T178" s="11"/>
      <c r="V178" s="11"/>
      <c r="X178" s="11">
        <f t="shared" si="16"/>
        <v>3.819444444444442E-2</v>
      </c>
      <c r="Y178" t="s">
        <v>538</v>
      </c>
    </row>
    <row r="179" spans="1:25" outlineLevel="1" x14ac:dyDescent="0.15">
      <c r="A179" s="3">
        <v>37030</v>
      </c>
      <c r="B179" s="3" t="str">
        <f>VLOOKUP(F179, Aircraft!A$2:C$99, 2, FALSE)</f>
        <v>PA-32RT</v>
      </c>
      <c r="C179" t="str">
        <f>VLOOKUP(F179, Aircraft!A$2:C$99, 3, FALSE)</f>
        <v>S</v>
      </c>
      <c r="D179" t="str">
        <f t="shared" si="17"/>
        <v>S</v>
      </c>
      <c r="E179" t="str">
        <f t="shared" si="18"/>
        <v>PA-32RT</v>
      </c>
      <c r="F179" t="s">
        <v>378</v>
      </c>
      <c r="G179" t="s">
        <v>191</v>
      </c>
      <c r="H179" s="2" t="str">
        <f t="shared" si="19"/>
        <v>P1</v>
      </c>
      <c r="I179" t="s">
        <v>250</v>
      </c>
      <c r="J179" t="s">
        <v>250</v>
      </c>
      <c r="K179" s="4">
        <v>0.66319444444444442</v>
      </c>
      <c r="L179" s="4">
        <v>0.70138888888888884</v>
      </c>
      <c r="M179" s="11">
        <f t="shared" si="24"/>
        <v>3.819444444444442E-2</v>
      </c>
      <c r="N179" s="11">
        <f t="shared" si="23"/>
        <v>0</v>
      </c>
      <c r="O179" s="11"/>
      <c r="P179" s="11"/>
      <c r="Q179" s="11"/>
      <c r="R179" s="11"/>
      <c r="S179" s="11"/>
      <c r="T179" s="11"/>
      <c r="V179" s="11"/>
      <c r="X179" s="11">
        <f t="shared" si="16"/>
        <v>3.819444444444442E-2</v>
      </c>
      <c r="Y179" t="s">
        <v>380</v>
      </c>
    </row>
    <row r="180" spans="1:25" outlineLevel="1" x14ac:dyDescent="0.15">
      <c r="A180" s="3">
        <v>37031</v>
      </c>
      <c r="B180" s="3" t="str">
        <f>VLOOKUP(F180, Aircraft!A$2:C$99, 2, FALSE)</f>
        <v>PA28-235</v>
      </c>
      <c r="C180" t="str">
        <f>VLOOKUP(F180, Aircraft!A$2:C$99, 3, FALSE)</f>
        <v>S</v>
      </c>
      <c r="D180" t="str">
        <f t="shared" si="17"/>
        <v>S</v>
      </c>
      <c r="E180" t="str">
        <f t="shared" si="18"/>
        <v>PA28-235</v>
      </c>
      <c r="F180" t="s">
        <v>490</v>
      </c>
      <c r="G180" t="s">
        <v>191</v>
      </c>
      <c r="H180" s="2" t="str">
        <f t="shared" si="19"/>
        <v>P1</v>
      </c>
      <c r="I180" t="s">
        <v>250</v>
      </c>
      <c r="J180" t="s">
        <v>16</v>
      </c>
      <c r="K180" s="4">
        <v>0.60763888888888895</v>
      </c>
      <c r="L180" s="4">
        <v>0.64583333333333337</v>
      </c>
      <c r="M180" s="11">
        <f t="shared" si="24"/>
        <v>3.819444444444442E-2</v>
      </c>
      <c r="N180" s="11">
        <f t="shared" si="23"/>
        <v>0</v>
      </c>
      <c r="O180" s="11"/>
      <c r="P180" s="11"/>
      <c r="Q180" s="11"/>
      <c r="R180" s="11"/>
      <c r="S180" s="11"/>
      <c r="T180" s="11"/>
      <c r="V180" s="11"/>
      <c r="X180" s="11">
        <f t="shared" si="16"/>
        <v>3.819444444444442E-2</v>
      </c>
      <c r="Y180" t="s">
        <v>99</v>
      </c>
    </row>
    <row r="181" spans="1:25" outlineLevel="1" x14ac:dyDescent="0.15">
      <c r="A181" s="3">
        <v>37031</v>
      </c>
      <c r="B181" s="3" t="str">
        <f>VLOOKUP(F181, Aircraft!A$2:C$99, 2, FALSE)</f>
        <v>PA28-235</v>
      </c>
      <c r="C181" t="str">
        <f>VLOOKUP(F181, Aircraft!A$2:C$99, 3, FALSE)</f>
        <v>S</v>
      </c>
      <c r="D181" t="str">
        <f t="shared" si="17"/>
        <v>S</v>
      </c>
      <c r="E181" t="str">
        <f t="shared" si="18"/>
        <v>PA28-235</v>
      </c>
      <c r="F181" t="s">
        <v>490</v>
      </c>
      <c r="G181" t="s">
        <v>191</v>
      </c>
      <c r="H181" s="2" t="str">
        <f t="shared" si="19"/>
        <v>P1</v>
      </c>
      <c r="I181" t="s">
        <v>16</v>
      </c>
      <c r="J181" t="s">
        <v>250</v>
      </c>
      <c r="K181" s="4">
        <v>0.67361111111111116</v>
      </c>
      <c r="L181" s="4">
        <v>0.70486111111111116</v>
      </c>
      <c r="M181" s="11">
        <f t="shared" si="24"/>
        <v>3.125E-2</v>
      </c>
      <c r="N181" s="11">
        <f t="shared" si="23"/>
        <v>0</v>
      </c>
      <c r="O181" s="11"/>
      <c r="P181" s="11"/>
      <c r="Q181" s="11"/>
      <c r="R181" s="11"/>
      <c r="S181" s="11"/>
      <c r="T181" s="11"/>
      <c r="V181" s="11"/>
      <c r="X181" s="11">
        <f t="shared" si="16"/>
        <v>3.125E-2</v>
      </c>
    </row>
    <row r="182" spans="1:25" outlineLevel="1" x14ac:dyDescent="0.15">
      <c r="A182" s="3">
        <v>37047</v>
      </c>
      <c r="B182" s="3" t="str">
        <f>VLOOKUP(F182, Aircraft!A$2:C$99, 2, FALSE)</f>
        <v>PA28</v>
      </c>
      <c r="C182" t="str">
        <f>VLOOKUP(F182, Aircraft!A$2:C$99, 3, FALSE)</f>
        <v>S</v>
      </c>
      <c r="D182" t="str">
        <f t="shared" si="17"/>
        <v>S</v>
      </c>
      <c r="E182" t="str">
        <f t="shared" si="18"/>
        <v>PA28</v>
      </c>
      <c r="F182" t="s">
        <v>381</v>
      </c>
      <c r="G182" t="s">
        <v>191</v>
      </c>
      <c r="H182" s="2" t="str">
        <f t="shared" si="19"/>
        <v>P1</v>
      </c>
      <c r="I182" t="s">
        <v>230</v>
      </c>
      <c r="J182" t="s">
        <v>382</v>
      </c>
      <c r="K182" s="15">
        <v>0.5</v>
      </c>
      <c r="L182" s="15">
        <v>0.52430555555555558</v>
      </c>
      <c r="M182" s="11">
        <f t="shared" si="24"/>
        <v>2.430555555555558E-2</v>
      </c>
      <c r="N182" s="11">
        <f t="shared" si="23"/>
        <v>0</v>
      </c>
      <c r="O182" s="11"/>
      <c r="P182" s="11"/>
      <c r="Q182" s="11"/>
      <c r="R182" s="11"/>
      <c r="S182" s="11"/>
      <c r="T182" s="11"/>
      <c r="V182" s="11"/>
      <c r="X182" s="11">
        <f t="shared" si="16"/>
        <v>2.430555555555558E-2</v>
      </c>
      <c r="Y182" t="s">
        <v>396</v>
      </c>
    </row>
    <row r="183" spans="1:25" outlineLevel="1" x14ac:dyDescent="0.15">
      <c r="A183" s="3">
        <v>37047</v>
      </c>
      <c r="B183" s="3" t="str">
        <f>VLOOKUP(F183, Aircraft!A$2:C$99, 2, FALSE)</f>
        <v>PA28</v>
      </c>
      <c r="C183" t="str">
        <f>VLOOKUP(F183, Aircraft!A$2:C$99, 3, FALSE)</f>
        <v>S</v>
      </c>
      <c r="D183" t="str">
        <f t="shared" si="17"/>
        <v>S</v>
      </c>
      <c r="E183" t="str">
        <f t="shared" si="18"/>
        <v>PA28</v>
      </c>
      <c r="F183" t="s">
        <v>381</v>
      </c>
      <c r="G183" t="s">
        <v>191</v>
      </c>
      <c r="H183" s="2" t="str">
        <f t="shared" si="19"/>
        <v>P1</v>
      </c>
      <c r="I183" t="s">
        <v>382</v>
      </c>
      <c r="J183" t="s">
        <v>230</v>
      </c>
      <c r="K183" s="4">
        <v>0.58333333333333337</v>
      </c>
      <c r="L183" s="4">
        <v>0.625</v>
      </c>
      <c r="M183" s="11">
        <f t="shared" si="24"/>
        <v>4.166666666666663E-2</v>
      </c>
      <c r="N183" s="11">
        <f t="shared" si="23"/>
        <v>0</v>
      </c>
      <c r="O183" s="11"/>
      <c r="P183" s="11"/>
      <c r="Q183" s="11"/>
      <c r="R183" s="11"/>
      <c r="S183" s="11"/>
      <c r="T183" s="11"/>
      <c r="V183" s="11"/>
      <c r="X183" s="11">
        <f t="shared" si="16"/>
        <v>4.166666666666663E-2</v>
      </c>
      <c r="Y183" s="16" t="s">
        <v>397</v>
      </c>
    </row>
    <row r="184" spans="1:25" outlineLevel="1" x14ac:dyDescent="0.15">
      <c r="A184" s="3">
        <v>37059</v>
      </c>
      <c r="B184" s="3" t="str">
        <f>VLOOKUP(F184, Aircraft!A$2:C$99, 2, FALSE)</f>
        <v>PA28</v>
      </c>
      <c r="C184" t="str">
        <f>VLOOKUP(F184, Aircraft!A$2:C$99, 3, FALSE)</f>
        <v>S</v>
      </c>
      <c r="D184" t="str">
        <f t="shared" si="17"/>
        <v>S</v>
      </c>
      <c r="E184" t="str">
        <f t="shared" si="18"/>
        <v>PA28</v>
      </c>
      <c r="F184" t="s">
        <v>187</v>
      </c>
      <c r="G184" t="s">
        <v>191</v>
      </c>
      <c r="H184" s="2" t="str">
        <f t="shared" si="19"/>
        <v>P1</v>
      </c>
      <c r="I184" t="s">
        <v>250</v>
      </c>
      <c r="J184" t="s">
        <v>250</v>
      </c>
      <c r="K184" s="4">
        <v>0.64236111111111105</v>
      </c>
      <c r="L184" s="4">
        <v>0.68402777777777779</v>
      </c>
      <c r="M184" s="11">
        <f t="shared" si="24"/>
        <v>4.1666666666666741E-2</v>
      </c>
      <c r="N184" s="11">
        <f t="shared" si="23"/>
        <v>0</v>
      </c>
      <c r="O184" s="11"/>
      <c r="P184" s="11"/>
      <c r="Q184" s="11"/>
      <c r="R184" s="11"/>
      <c r="S184" s="11"/>
      <c r="T184" s="11"/>
      <c r="U184" s="27">
        <v>0.5</v>
      </c>
      <c r="V184" s="11"/>
      <c r="X184" s="11">
        <f t="shared" si="16"/>
        <v>4.1666666666666741E-2</v>
      </c>
      <c r="Y184" t="s">
        <v>398</v>
      </c>
    </row>
    <row r="185" spans="1:25" outlineLevel="1" x14ac:dyDescent="0.15">
      <c r="A185" s="3">
        <v>37059</v>
      </c>
      <c r="B185" s="3" t="str">
        <f>VLOOKUP(F185, Aircraft!A$2:C$99, 2, FALSE)</f>
        <v>PA28</v>
      </c>
      <c r="C185" t="str">
        <f>VLOOKUP(F185, Aircraft!A$2:C$99, 3, FALSE)</f>
        <v>S</v>
      </c>
      <c r="D185" t="str">
        <f t="shared" si="17"/>
        <v>S</v>
      </c>
      <c r="E185" t="str">
        <f t="shared" si="18"/>
        <v>PA28</v>
      </c>
      <c r="F185" t="s">
        <v>187</v>
      </c>
      <c r="G185" t="s">
        <v>191</v>
      </c>
      <c r="H185" s="2" t="str">
        <f t="shared" si="19"/>
        <v>P1</v>
      </c>
      <c r="I185" t="s">
        <v>250</v>
      </c>
      <c r="J185" t="s">
        <v>66</v>
      </c>
      <c r="K185" s="4">
        <v>0.70833333333333337</v>
      </c>
      <c r="L185" s="4">
        <v>0.74305555555555547</v>
      </c>
      <c r="M185" s="11">
        <f t="shared" si="24"/>
        <v>3.4722222222222099E-2</v>
      </c>
      <c r="N185" s="11">
        <f t="shared" si="23"/>
        <v>0</v>
      </c>
      <c r="O185" s="11"/>
      <c r="P185" s="11"/>
      <c r="Q185" s="11"/>
      <c r="R185" s="11"/>
      <c r="S185" s="11"/>
      <c r="T185" s="11"/>
      <c r="V185" s="11"/>
      <c r="X185" s="11">
        <f t="shared" si="16"/>
        <v>3.4722222222222099E-2</v>
      </c>
    </row>
    <row r="186" spans="1:25" outlineLevel="1" x14ac:dyDescent="0.15">
      <c r="A186" s="3">
        <v>37059</v>
      </c>
      <c r="B186" s="3" t="str">
        <f>VLOOKUP(F186, Aircraft!A$2:C$99, 2, FALSE)</f>
        <v>PA28</v>
      </c>
      <c r="C186" t="str">
        <f>VLOOKUP(F186, Aircraft!A$2:C$99, 3, FALSE)</f>
        <v>S</v>
      </c>
      <c r="D186" t="str">
        <f t="shared" si="17"/>
        <v>S</v>
      </c>
      <c r="E186" t="str">
        <f t="shared" si="18"/>
        <v>PA28</v>
      </c>
      <c r="F186" t="s">
        <v>187</v>
      </c>
      <c r="G186" t="s">
        <v>191</v>
      </c>
      <c r="H186" s="2" t="str">
        <f t="shared" si="19"/>
        <v>P1</v>
      </c>
      <c r="I186" t="s">
        <v>66</v>
      </c>
      <c r="J186" t="s">
        <v>250</v>
      </c>
      <c r="K186" s="4">
        <v>0.76388888888888884</v>
      </c>
      <c r="L186" s="4">
        <v>0.79166666666666663</v>
      </c>
      <c r="M186" s="11">
        <f t="shared" si="24"/>
        <v>2.777777777777779E-2</v>
      </c>
      <c r="N186" s="11">
        <f t="shared" si="23"/>
        <v>0</v>
      </c>
      <c r="O186" s="11"/>
      <c r="P186" s="11"/>
      <c r="Q186" s="11"/>
      <c r="R186" s="11"/>
      <c r="S186" s="11"/>
      <c r="T186" s="11"/>
      <c r="V186" s="11"/>
      <c r="X186" s="11">
        <f t="shared" si="16"/>
        <v>2.777777777777779E-2</v>
      </c>
    </row>
    <row r="187" spans="1:25" outlineLevel="1" x14ac:dyDescent="0.15">
      <c r="A187" s="3">
        <v>37080</v>
      </c>
      <c r="B187" s="3" t="str">
        <f>VLOOKUP(F187, Aircraft!A$2:C$99, 2, FALSE)</f>
        <v>Archer-III</v>
      </c>
      <c r="C187" t="str">
        <f>VLOOKUP(F187, Aircraft!A$2:C$99, 3, FALSE)</f>
        <v>S</v>
      </c>
      <c r="D187" t="str">
        <f t="shared" si="17"/>
        <v>S</v>
      </c>
      <c r="E187" t="str">
        <f t="shared" si="18"/>
        <v>Archer-III</v>
      </c>
      <c r="F187" t="s">
        <v>54</v>
      </c>
      <c r="G187" t="s">
        <v>191</v>
      </c>
      <c r="H187" s="2" t="str">
        <f t="shared" si="19"/>
        <v>P1</v>
      </c>
      <c r="I187" t="s">
        <v>250</v>
      </c>
      <c r="J187" t="s">
        <v>250</v>
      </c>
      <c r="K187" s="4">
        <v>0.67013888888888884</v>
      </c>
      <c r="L187" s="4">
        <v>0.70833333333333337</v>
      </c>
      <c r="M187" s="11">
        <f t="shared" si="24"/>
        <v>3.8194444444444531E-2</v>
      </c>
      <c r="N187" s="11">
        <f t="shared" si="23"/>
        <v>0</v>
      </c>
      <c r="O187" s="11"/>
      <c r="P187" s="11"/>
      <c r="Q187" s="11"/>
      <c r="R187" s="11"/>
      <c r="S187" s="11"/>
      <c r="T187" s="11"/>
      <c r="V187" s="11"/>
      <c r="X187" s="11">
        <f t="shared" si="16"/>
        <v>3.8194444444444531E-2</v>
      </c>
      <c r="Y187" t="s">
        <v>399</v>
      </c>
    </row>
    <row r="188" spans="1:25" outlineLevel="1" x14ac:dyDescent="0.15">
      <c r="A188" s="3">
        <v>37099</v>
      </c>
      <c r="B188" s="3" t="str">
        <f>VLOOKUP(F188, Aircraft!A$2:C$99, 2, FALSE)</f>
        <v>Archer-III</v>
      </c>
      <c r="C188" t="str">
        <f>VLOOKUP(F188, Aircraft!A$2:C$99, 3, FALSE)</f>
        <v>S</v>
      </c>
      <c r="D188" t="str">
        <f t="shared" si="17"/>
        <v>S</v>
      </c>
      <c r="E188" t="str">
        <f t="shared" si="18"/>
        <v>Archer-III</v>
      </c>
      <c r="F188" t="s">
        <v>54</v>
      </c>
      <c r="G188" t="s">
        <v>191</v>
      </c>
      <c r="H188" s="2" t="str">
        <f t="shared" si="19"/>
        <v>P1</v>
      </c>
      <c r="I188" t="s">
        <v>20</v>
      </c>
      <c r="J188" t="s">
        <v>250</v>
      </c>
      <c r="K188" s="4">
        <v>0.64236111111111105</v>
      </c>
      <c r="L188" s="4">
        <v>0.69444444444444453</v>
      </c>
      <c r="M188" s="11">
        <f t="shared" si="24"/>
        <v>5.2083333333333481E-2</v>
      </c>
      <c r="N188" s="11">
        <f t="shared" si="23"/>
        <v>0</v>
      </c>
      <c r="O188" s="11"/>
      <c r="P188" s="11"/>
      <c r="Q188" s="11"/>
      <c r="R188" s="11"/>
      <c r="S188" s="11"/>
      <c r="T188" s="11"/>
      <c r="U188" s="27">
        <v>0.8</v>
      </c>
      <c r="V188" s="11"/>
      <c r="X188" s="11">
        <f t="shared" si="16"/>
        <v>5.2083333333333481E-2</v>
      </c>
      <c r="Y188" t="s">
        <v>400</v>
      </c>
    </row>
    <row r="189" spans="1:25" outlineLevel="1" x14ac:dyDescent="0.15">
      <c r="A189" s="3">
        <v>37100</v>
      </c>
      <c r="B189" s="3" t="str">
        <f>VLOOKUP(F189, Aircraft!A$2:C$99, 2, FALSE)</f>
        <v>Archer-III</v>
      </c>
      <c r="C189" t="str">
        <f>VLOOKUP(F189, Aircraft!A$2:C$99, 3, FALSE)</f>
        <v>S</v>
      </c>
      <c r="D189" t="str">
        <f t="shared" si="17"/>
        <v>S</v>
      </c>
      <c r="E189" t="str">
        <f t="shared" si="18"/>
        <v>Archer-III</v>
      </c>
      <c r="F189" t="s">
        <v>54</v>
      </c>
      <c r="G189" t="s">
        <v>191</v>
      </c>
      <c r="H189" s="2" t="str">
        <f t="shared" si="19"/>
        <v>P1</v>
      </c>
      <c r="I189" t="s">
        <v>250</v>
      </c>
      <c r="J189" t="s">
        <v>72</v>
      </c>
      <c r="K189" s="4">
        <v>0.4548611111111111</v>
      </c>
      <c r="L189" s="4">
        <v>0.51388888888888895</v>
      </c>
      <c r="M189" s="11">
        <f t="shared" si="24"/>
        <v>5.9027777777777846E-2</v>
      </c>
      <c r="N189" s="11">
        <f t="shared" si="23"/>
        <v>0</v>
      </c>
      <c r="O189" s="11"/>
      <c r="P189" s="11"/>
      <c r="Q189" s="11"/>
      <c r="R189" s="11"/>
      <c r="S189" s="11"/>
      <c r="T189" s="11"/>
      <c r="V189" s="11"/>
      <c r="X189" s="11">
        <f t="shared" si="16"/>
        <v>5.9027777777777846E-2</v>
      </c>
      <c r="Y189" t="s">
        <v>391</v>
      </c>
    </row>
    <row r="190" spans="1:25" outlineLevel="1" x14ac:dyDescent="0.15">
      <c r="A190" s="3">
        <v>37101</v>
      </c>
      <c r="B190" s="3" t="str">
        <f>VLOOKUP(F190, Aircraft!A$2:C$99, 2, FALSE)</f>
        <v>Archer-III</v>
      </c>
      <c r="C190" t="str">
        <f>VLOOKUP(F190, Aircraft!A$2:C$99, 3, FALSE)</f>
        <v>S</v>
      </c>
      <c r="D190" t="str">
        <f t="shared" si="17"/>
        <v>S</v>
      </c>
      <c r="E190" t="str">
        <f t="shared" si="18"/>
        <v>Archer-III</v>
      </c>
      <c r="F190" t="s">
        <v>54</v>
      </c>
      <c r="G190" t="s">
        <v>191</v>
      </c>
      <c r="H190" s="2" t="str">
        <f t="shared" si="19"/>
        <v>P1</v>
      </c>
      <c r="I190" t="s">
        <v>59</v>
      </c>
      <c r="J190" t="s">
        <v>61</v>
      </c>
      <c r="K190" s="4">
        <v>0.49652777777777773</v>
      </c>
      <c r="L190" s="4">
        <v>0.57986111111111105</v>
      </c>
      <c r="M190" s="11">
        <f t="shared" si="24"/>
        <v>8.3333333333333315E-2</v>
      </c>
      <c r="N190" s="11">
        <f t="shared" si="23"/>
        <v>0</v>
      </c>
      <c r="O190" s="11"/>
      <c r="P190" s="11"/>
      <c r="Q190" s="11"/>
      <c r="R190" s="11"/>
      <c r="S190" s="11"/>
      <c r="T190" s="11"/>
      <c r="V190" s="11"/>
      <c r="X190" s="11">
        <f t="shared" si="16"/>
        <v>8.3333333333333315E-2</v>
      </c>
    </row>
    <row r="191" spans="1:25" outlineLevel="1" x14ac:dyDescent="0.15">
      <c r="A191" s="3">
        <v>37107</v>
      </c>
      <c r="B191" s="3" t="str">
        <f>VLOOKUP(F191, Aircraft!A$2:C$99, 2, FALSE)</f>
        <v>PA28</v>
      </c>
      <c r="C191" t="str">
        <f>VLOOKUP(F191, Aircraft!A$2:C$99, 3, FALSE)</f>
        <v>S</v>
      </c>
      <c r="D191" t="str">
        <f t="shared" si="17"/>
        <v>S</v>
      </c>
      <c r="E191" t="str">
        <f t="shared" si="18"/>
        <v>PA28</v>
      </c>
      <c r="F191" t="s">
        <v>560</v>
      </c>
      <c r="G191" t="s">
        <v>191</v>
      </c>
      <c r="H191" s="2" t="str">
        <f t="shared" si="19"/>
        <v>P1</v>
      </c>
      <c r="I191" t="s">
        <v>250</v>
      </c>
      <c r="J191" t="s">
        <v>4</v>
      </c>
      <c r="K191" s="4">
        <v>0.53472222222222221</v>
      </c>
      <c r="L191" s="4">
        <v>0.56597222222222221</v>
      </c>
      <c r="M191" s="11">
        <f t="shared" si="24"/>
        <v>3.125E-2</v>
      </c>
      <c r="N191" s="11">
        <f t="shared" si="23"/>
        <v>0</v>
      </c>
      <c r="O191" s="11"/>
      <c r="P191" s="11"/>
      <c r="Q191" s="11"/>
      <c r="R191" s="11"/>
      <c r="S191" s="11"/>
      <c r="T191" s="11"/>
      <c r="V191" s="11"/>
      <c r="X191" s="11">
        <f t="shared" si="16"/>
        <v>3.125E-2</v>
      </c>
    </row>
    <row r="192" spans="1:25" outlineLevel="1" x14ac:dyDescent="0.15">
      <c r="A192" s="3">
        <v>37107</v>
      </c>
      <c r="B192" s="3" t="str">
        <f>VLOOKUP(F192, Aircraft!A$2:C$99, 2, FALSE)</f>
        <v>PA28</v>
      </c>
      <c r="C192" t="str">
        <f>VLOOKUP(F192, Aircraft!A$2:C$99, 3, FALSE)</f>
        <v>S</v>
      </c>
      <c r="D192" t="str">
        <f t="shared" si="17"/>
        <v>S</v>
      </c>
      <c r="E192" t="str">
        <f t="shared" si="18"/>
        <v>PA28</v>
      </c>
      <c r="F192" t="s">
        <v>560</v>
      </c>
      <c r="G192" t="s">
        <v>191</v>
      </c>
      <c r="H192" s="2" t="str">
        <f t="shared" si="19"/>
        <v>P1</v>
      </c>
      <c r="I192" t="s">
        <v>4</v>
      </c>
      <c r="J192" t="s">
        <v>250</v>
      </c>
      <c r="K192" s="4">
        <v>0.59722222222222221</v>
      </c>
      <c r="L192" s="4">
        <v>0.62847222222222221</v>
      </c>
      <c r="M192" s="11">
        <f t="shared" si="24"/>
        <v>3.125E-2</v>
      </c>
      <c r="N192" s="11">
        <f t="shared" si="23"/>
        <v>0</v>
      </c>
      <c r="O192" s="11"/>
      <c r="P192" s="11"/>
      <c r="Q192" s="11"/>
      <c r="R192" s="11"/>
      <c r="S192" s="11"/>
      <c r="T192" s="11"/>
      <c r="V192" s="11"/>
      <c r="X192" s="11">
        <f t="shared" si="16"/>
        <v>3.125E-2</v>
      </c>
      <c r="Y192" t="s">
        <v>561</v>
      </c>
    </row>
    <row r="193" spans="1:25" outlineLevel="1" x14ac:dyDescent="0.15">
      <c r="A193" s="3">
        <v>37134</v>
      </c>
      <c r="B193" s="3" t="str">
        <f>VLOOKUP(F193, Aircraft!A$2:C$99, 2, FALSE)</f>
        <v>Archer-III</v>
      </c>
      <c r="C193" t="str">
        <f>VLOOKUP(F193, Aircraft!A$2:C$99, 3, FALSE)</f>
        <v>S</v>
      </c>
      <c r="D193" t="str">
        <f t="shared" si="17"/>
        <v>S</v>
      </c>
      <c r="E193" t="str">
        <f t="shared" si="18"/>
        <v>Archer-III</v>
      </c>
      <c r="F193" t="s">
        <v>54</v>
      </c>
      <c r="G193" t="s">
        <v>191</v>
      </c>
      <c r="H193" s="2" t="str">
        <f t="shared" si="19"/>
        <v>P1</v>
      </c>
      <c r="I193" t="s">
        <v>250</v>
      </c>
      <c r="J193" t="s">
        <v>76</v>
      </c>
      <c r="K193" s="4">
        <v>0.4375</v>
      </c>
      <c r="L193" s="4">
        <v>0.46875</v>
      </c>
      <c r="M193" s="11">
        <f t="shared" si="24"/>
        <v>3.125E-2</v>
      </c>
      <c r="N193" s="11">
        <f t="shared" si="23"/>
        <v>0</v>
      </c>
      <c r="O193" s="11"/>
      <c r="P193" s="11"/>
      <c r="Q193" s="11"/>
      <c r="R193" s="11"/>
      <c r="S193" s="11"/>
      <c r="T193" s="11"/>
      <c r="V193" s="11"/>
      <c r="X193" s="11">
        <f t="shared" si="16"/>
        <v>3.125E-2</v>
      </c>
      <c r="Y193" t="s">
        <v>562</v>
      </c>
    </row>
    <row r="194" spans="1:25" outlineLevel="1" x14ac:dyDescent="0.15">
      <c r="A194" s="3">
        <v>37134</v>
      </c>
      <c r="B194" s="3" t="str">
        <f>VLOOKUP(F194, Aircraft!A$2:C$99, 2, FALSE)</f>
        <v>Archer-III</v>
      </c>
      <c r="C194" t="str">
        <f>VLOOKUP(F194, Aircraft!A$2:C$99, 3, FALSE)</f>
        <v>S</v>
      </c>
      <c r="D194" t="str">
        <f t="shared" si="17"/>
        <v>S</v>
      </c>
      <c r="E194" t="str">
        <f t="shared" si="18"/>
        <v>Archer-III</v>
      </c>
      <c r="F194" t="s">
        <v>54</v>
      </c>
      <c r="G194" t="s">
        <v>191</v>
      </c>
      <c r="H194" s="2" t="str">
        <f t="shared" si="19"/>
        <v>P1</v>
      </c>
      <c r="I194" t="s">
        <v>148</v>
      </c>
      <c r="J194" t="s">
        <v>150</v>
      </c>
      <c r="K194" s="4">
        <v>0.51041666666666663</v>
      </c>
      <c r="L194" s="4">
        <v>0.54861111111111105</v>
      </c>
      <c r="M194" s="11">
        <f t="shared" si="24"/>
        <v>3.819444444444442E-2</v>
      </c>
      <c r="N194" s="11">
        <f t="shared" si="23"/>
        <v>0</v>
      </c>
      <c r="O194" s="11"/>
      <c r="P194" s="11"/>
      <c r="Q194" s="11"/>
      <c r="R194" s="11"/>
      <c r="S194" s="11"/>
      <c r="T194" s="11"/>
      <c r="V194" s="11"/>
      <c r="X194" s="11">
        <f t="shared" si="16"/>
        <v>3.819444444444442E-2</v>
      </c>
    </row>
    <row r="195" spans="1:25" outlineLevel="1" x14ac:dyDescent="0.15">
      <c r="A195" s="3">
        <v>37143</v>
      </c>
      <c r="B195" s="3" t="str">
        <f>VLOOKUP(F195, Aircraft!A$2:C$99, 2, FALSE)</f>
        <v>PA28</v>
      </c>
      <c r="C195" t="str">
        <f>VLOOKUP(F195, Aircraft!A$2:C$99, 3, FALSE)</f>
        <v>S</v>
      </c>
      <c r="D195" t="str">
        <f t="shared" si="17"/>
        <v>S</v>
      </c>
      <c r="E195" t="str">
        <f t="shared" si="18"/>
        <v>PA28</v>
      </c>
      <c r="F195" t="s">
        <v>228</v>
      </c>
      <c r="G195" t="s">
        <v>191</v>
      </c>
      <c r="H195" s="2" t="str">
        <f t="shared" si="19"/>
        <v>P1</v>
      </c>
      <c r="I195" t="s">
        <v>250</v>
      </c>
      <c r="J195" t="s">
        <v>62</v>
      </c>
      <c r="K195" s="4">
        <v>0.51944444444444449</v>
      </c>
      <c r="L195" s="4">
        <v>0.58125000000000004</v>
      </c>
      <c r="M195" s="11">
        <f t="shared" si="24"/>
        <v>6.1805555555555558E-2</v>
      </c>
      <c r="N195" s="11">
        <f t="shared" si="23"/>
        <v>0</v>
      </c>
      <c r="O195" s="11"/>
      <c r="P195" s="11"/>
      <c r="Q195" s="11"/>
      <c r="R195" s="11"/>
      <c r="S195" s="11"/>
      <c r="T195" s="11"/>
      <c r="V195" s="11"/>
      <c r="X195" s="11">
        <f t="shared" si="16"/>
        <v>6.1805555555555558E-2</v>
      </c>
      <c r="Y195" t="s">
        <v>484</v>
      </c>
    </row>
    <row r="196" spans="1:25" outlineLevel="1" x14ac:dyDescent="0.15">
      <c r="A196" s="3">
        <v>37143</v>
      </c>
      <c r="B196" s="3" t="str">
        <f>VLOOKUP(F196, Aircraft!A$2:C$99, 2, FALSE)</f>
        <v>PA28</v>
      </c>
      <c r="C196" t="str">
        <f>VLOOKUP(F196, Aircraft!A$2:C$99, 3, FALSE)</f>
        <v>S</v>
      </c>
      <c r="D196" t="str">
        <f t="shared" si="17"/>
        <v>S</v>
      </c>
      <c r="E196" t="str">
        <f t="shared" si="18"/>
        <v>PA28</v>
      </c>
      <c r="F196" t="s">
        <v>228</v>
      </c>
      <c r="G196" t="s">
        <v>191</v>
      </c>
      <c r="H196" s="2" t="str">
        <f t="shared" si="19"/>
        <v>P1</v>
      </c>
      <c r="I196" t="s">
        <v>62</v>
      </c>
      <c r="J196" t="s">
        <v>250</v>
      </c>
      <c r="K196" s="4">
        <v>0.64583333333333337</v>
      </c>
      <c r="L196" s="15">
        <v>0.74305555555555547</v>
      </c>
      <c r="M196" s="11">
        <f t="shared" si="24"/>
        <v>9.7222222222222099E-2</v>
      </c>
      <c r="N196" s="11">
        <f t="shared" si="23"/>
        <v>0</v>
      </c>
      <c r="O196" s="11"/>
      <c r="P196" s="11"/>
      <c r="Q196" s="11"/>
      <c r="R196" s="11"/>
      <c r="S196" s="11"/>
      <c r="T196" s="11"/>
      <c r="V196" s="11"/>
      <c r="X196" s="11">
        <f t="shared" si="16"/>
        <v>9.7222222222222099E-2</v>
      </c>
      <c r="Y196" t="s">
        <v>563</v>
      </c>
    </row>
    <row r="197" spans="1:25" outlineLevel="1" x14ac:dyDescent="0.15">
      <c r="A197" s="3">
        <v>37157</v>
      </c>
      <c r="B197" s="3" t="str">
        <f>VLOOKUP(F197, Aircraft!A$2:C$99, 2, FALSE)</f>
        <v>PA28</v>
      </c>
      <c r="C197" t="str">
        <f>VLOOKUP(F197, Aircraft!A$2:C$99, 3, FALSE)</f>
        <v>S</v>
      </c>
      <c r="D197" t="str">
        <f t="shared" si="17"/>
        <v>S</v>
      </c>
      <c r="E197" t="str">
        <f t="shared" si="18"/>
        <v>PA28</v>
      </c>
      <c r="F197" t="s">
        <v>187</v>
      </c>
      <c r="G197" t="s">
        <v>191</v>
      </c>
      <c r="H197" s="2" t="str">
        <f t="shared" si="19"/>
        <v>P1</v>
      </c>
      <c r="I197" t="s">
        <v>250</v>
      </c>
      <c r="J197" t="s">
        <v>250</v>
      </c>
      <c r="K197" s="4">
        <v>0.64236111111111105</v>
      </c>
      <c r="L197" s="4">
        <v>0.66666666666666663</v>
      </c>
      <c r="M197" s="11">
        <f t="shared" si="24"/>
        <v>2.430555555555558E-2</v>
      </c>
      <c r="N197" s="11">
        <f t="shared" si="23"/>
        <v>0</v>
      </c>
      <c r="O197" s="11"/>
      <c r="P197" s="11"/>
      <c r="Q197" s="11"/>
      <c r="R197" s="11"/>
      <c r="S197" s="11"/>
      <c r="T197" s="11"/>
      <c r="V197" s="11"/>
      <c r="X197" s="11">
        <f t="shared" si="16"/>
        <v>2.430555555555558E-2</v>
      </c>
      <c r="Y197" t="s">
        <v>564</v>
      </c>
    </row>
    <row r="198" spans="1:25" outlineLevel="1" x14ac:dyDescent="0.15">
      <c r="A198" s="3">
        <v>37177</v>
      </c>
      <c r="B198" s="3" t="str">
        <f>VLOOKUP(F198, Aircraft!A$2:C$99, 2, FALSE)</f>
        <v>PA28</v>
      </c>
      <c r="C198" t="str">
        <f>VLOOKUP(F198, Aircraft!A$2:C$99, 3, FALSE)</f>
        <v>S</v>
      </c>
      <c r="D198" t="str">
        <f t="shared" si="17"/>
        <v>S</v>
      </c>
      <c r="E198" t="str">
        <f t="shared" si="18"/>
        <v>PA28</v>
      </c>
      <c r="F198" t="s">
        <v>228</v>
      </c>
      <c r="G198" t="s">
        <v>191</v>
      </c>
      <c r="H198" s="2" t="str">
        <f t="shared" si="19"/>
        <v>P1</v>
      </c>
      <c r="I198" t="s">
        <v>250</v>
      </c>
      <c r="J198" t="s">
        <v>159</v>
      </c>
      <c r="K198" s="4">
        <v>0.58680555555555558</v>
      </c>
      <c r="L198" s="4">
        <v>0.64583333333333337</v>
      </c>
      <c r="M198" s="11">
        <f t="shared" si="24"/>
        <v>5.902777777777779E-2</v>
      </c>
      <c r="N198" s="11">
        <f t="shared" si="23"/>
        <v>0</v>
      </c>
      <c r="O198" s="11"/>
      <c r="P198" s="11"/>
      <c r="Q198" s="11"/>
      <c r="R198" s="11"/>
      <c r="S198" s="11"/>
      <c r="T198" s="11"/>
      <c r="U198" s="27">
        <v>0.5</v>
      </c>
      <c r="V198" s="11"/>
      <c r="X198" s="11">
        <f t="shared" si="16"/>
        <v>5.902777777777779E-2</v>
      </c>
      <c r="Y198" t="s">
        <v>565</v>
      </c>
    </row>
    <row r="199" spans="1:25" outlineLevel="1" x14ac:dyDescent="0.15">
      <c r="A199" s="3">
        <v>37184</v>
      </c>
      <c r="B199" s="3" t="str">
        <f>VLOOKUP(F199, Aircraft!A$2:C$99, 2, FALSE)</f>
        <v>PA28</v>
      </c>
      <c r="C199" t="str">
        <f>VLOOKUP(F199, Aircraft!A$2:C$99, 3, FALSE)</f>
        <v>S</v>
      </c>
      <c r="D199" t="str">
        <f t="shared" si="17"/>
        <v>S</v>
      </c>
      <c r="E199" t="str">
        <f t="shared" si="18"/>
        <v>PA28</v>
      </c>
      <c r="F199" t="s">
        <v>228</v>
      </c>
      <c r="G199" t="s">
        <v>191</v>
      </c>
      <c r="H199" s="2" t="str">
        <f t="shared" si="19"/>
        <v>P1</v>
      </c>
      <c r="I199" t="s">
        <v>250</v>
      </c>
      <c r="J199" t="s">
        <v>250</v>
      </c>
      <c r="K199" s="4">
        <v>0.66319444444444442</v>
      </c>
      <c r="L199" s="4">
        <v>0.7</v>
      </c>
      <c r="M199" s="11">
        <f t="shared" si="24"/>
        <v>3.6805555555555536E-2</v>
      </c>
      <c r="N199" s="11">
        <f t="shared" si="23"/>
        <v>0</v>
      </c>
      <c r="O199" s="11"/>
      <c r="P199" s="11"/>
      <c r="Q199" s="11"/>
      <c r="R199" s="11"/>
      <c r="S199" s="11"/>
      <c r="T199" s="11"/>
      <c r="U199" s="27">
        <v>0.7</v>
      </c>
      <c r="V199" s="11"/>
      <c r="X199" s="11">
        <f t="shared" si="16"/>
        <v>3.6805555555555536E-2</v>
      </c>
      <c r="Y199" t="s">
        <v>566</v>
      </c>
    </row>
    <row r="200" spans="1:25" outlineLevel="1" x14ac:dyDescent="0.15">
      <c r="A200" s="3">
        <v>37199</v>
      </c>
      <c r="B200" s="3" t="str">
        <f>VLOOKUP(F200, Aircraft!A$2:C$99, 2, FALSE)</f>
        <v>PA28</v>
      </c>
      <c r="C200" t="str">
        <f>VLOOKUP(F200, Aircraft!A$2:C$99, 3, FALSE)</f>
        <v>S</v>
      </c>
      <c r="D200" t="str">
        <f t="shared" si="17"/>
        <v>S</v>
      </c>
      <c r="E200" t="str">
        <f t="shared" si="18"/>
        <v>PA28</v>
      </c>
      <c r="F200" t="s">
        <v>560</v>
      </c>
      <c r="G200" t="s">
        <v>191</v>
      </c>
      <c r="H200" s="2" t="str">
        <f t="shared" si="19"/>
        <v>P1</v>
      </c>
      <c r="I200" t="s">
        <v>62</v>
      </c>
      <c r="J200" t="s">
        <v>250</v>
      </c>
      <c r="K200" s="4">
        <v>0.44097222222222227</v>
      </c>
      <c r="L200" s="4">
        <v>0.50347222222222221</v>
      </c>
      <c r="M200" s="11">
        <f t="shared" si="24"/>
        <v>6.2499999999999944E-2</v>
      </c>
      <c r="N200" s="11">
        <f t="shared" si="23"/>
        <v>0</v>
      </c>
      <c r="O200" s="11"/>
      <c r="P200" s="11"/>
      <c r="Q200" s="11"/>
      <c r="R200" s="11"/>
      <c r="S200" s="11"/>
      <c r="T200" s="11"/>
      <c r="U200" s="27">
        <v>0.5</v>
      </c>
      <c r="V200" s="11"/>
      <c r="X200" s="11">
        <f t="shared" si="16"/>
        <v>6.2499999999999944E-2</v>
      </c>
      <c r="Y200" t="s">
        <v>567</v>
      </c>
    </row>
    <row r="201" spans="1:25" outlineLevel="1" x14ac:dyDescent="0.15">
      <c r="A201" s="3">
        <v>37205</v>
      </c>
      <c r="B201" s="3" t="str">
        <f>VLOOKUP(F201, Aircraft!A$2:C$99, 2, FALSE)</f>
        <v>PA28</v>
      </c>
      <c r="C201" t="str">
        <f>VLOOKUP(F201, Aircraft!A$2:C$99, 3, FALSE)</f>
        <v>S</v>
      </c>
      <c r="D201" t="str">
        <f t="shared" si="17"/>
        <v>S</v>
      </c>
      <c r="E201" t="str">
        <f t="shared" si="18"/>
        <v>PA28</v>
      </c>
      <c r="F201" t="s">
        <v>560</v>
      </c>
      <c r="G201" t="s">
        <v>191</v>
      </c>
      <c r="H201" s="2" t="str">
        <f t="shared" si="19"/>
        <v>P1</v>
      </c>
      <c r="I201" t="s">
        <v>250</v>
      </c>
      <c r="J201" t="s">
        <v>250</v>
      </c>
      <c r="K201" s="4">
        <v>0.70138888888888884</v>
      </c>
      <c r="L201" s="4">
        <v>0.75347222222222221</v>
      </c>
      <c r="N201" s="11">
        <f t="shared" si="23"/>
        <v>0</v>
      </c>
      <c r="O201" s="11"/>
      <c r="P201" s="11"/>
      <c r="Q201" s="11">
        <f>IF(AND(H201="P1", D201="S"), L201-K201, 0)</f>
        <v>5.208333333333337E-2</v>
      </c>
      <c r="R201" s="11"/>
      <c r="S201" s="11"/>
      <c r="T201" s="11"/>
      <c r="V201" s="11"/>
      <c r="X201" s="11">
        <f t="shared" si="16"/>
        <v>5.208333333333337E-2</v>
      </c>
      <c r="Y201" t="s">
        <v>568</v>
      </c>
    </row>
    <row r="202" spans="1:25" outlineLevel="1" x14ac:dyDescent="0.15">
      <c r="A202" s="3">
        <v>37206</v>
      </c>
      <c r="B202" s="3" t="str">
        <f>VLOOKUP(F202, Aircraft!A$2:C$99, 2, FALSE)</f>
        <v>PA28</v>
      </c>
      <c r="C202" t="str">
        <f>VLOOKUP(F202, Aircraft!A$2:C$99, 3, FALSE)</f>
        <v>S</v>
      </c>
      <c r="D202" t="str">
        <f t="shared" si="17"/>
        <v>S</v>
      </c>
      <c r="E202" t="str">
        <f t="shared" si="18"/>
        <v>PA28</v>
      </c>
      <c r="F202" t="s">
        <v>187</v>
      </c>
      <c r="G202" t="s">
        <v>191</v>
      </c>
      <c r="H202" s="2" t="str">
        <f t="shared" si="19"/>
        <v>P1</v>
      </c>
      <c r="I202" t="s">
        <v>250</v>
      </c>
      <c r="J202" t="s">
        <v>250</v>
      </c>
      <c r="K202" s="4">
        <v>0.64236111111111105</v>
      </c>
      <c r="L202" s="4">
        <v>0.69097222222222221</v>
      </c>
      <c r="M202" s="11">
        <f>IF(AND(H202="P1", D202="S"), L202-K202, 0)</f>
        <v>4.861111111111116E-2</v>
      </c>
      <c r="N202" s="11">
        <f t="shared" si="23"/>
        <v>0</v>
      </c>
      <c r="O202" s="11"/>
      <c r="P202" s="11"/>
      <c r="Q202" s="11"/>
      <c r="R202" s="11"/>
      <c r="S202" s="11"/>
      <c r="T202" s="11"/>
      <c r="V202" s="11"/>
      <c r="X202" s="11">
        <f t="shared" si="16"/>
        <v>4.861111111111116E-2</v>
      </c>
      <c r="Y202" t="s">
        <v>569</v>
      </c>
    </row>
    <row r="203" spans="1:25" outlineLevel="1" x14ac:dyDescent="0.15">
      <c r="A203" s="3">
        <v>37206</v>
      </c>
      <c r="B203" s="3" t="str">
        <f>VLOOKUP(F203, Aircraft!A$2:C$99, 2, FALSE)</f>
        <v>PA28</v>
      </c>
      <c r="C203" t="str">
        <f>VLOOKUP(F203, Aircraft!A$2:C$99, 3, FALSE)</f>
        <v>S</v>
      </c>
      <c r="D203" t="str">
        <f t="shared" si="17"/>
        <v>S</v>
      </c>
      <c r="E203" t="str">
        <f t="shared" si="18"/>
        <v>PA28</v>
      </c>
      <c r="F203" t="s">
        <v>187</v>
      </c>
      <c r="G203" t="s">
        <v>191</v>
      </c>
      <c r="H203" s="2" t="str">
        <f t="shared" si="19"/>
        <v>P1</v>
      </c>
      <c r="I203" t="s">
        <v>250</v>
      </c>
      <c r="J203" t="s">
        <v>250</v>
      </c>
      <c r="K203" s="4">
        <v>0.75</v>
      </c>
      <c r="L203" s="4">
        <v>0.77083333333333337</v>
      </c>
      <c r="N203" s="11">
        <f t="shared" si="23"/>
        <v>0</v>
      </c>
      <c r="O203" s="11"/>
      <c r="P203" s="11"/>
      <c r="Q203" s="11">
        <f>IF(AND(H203="P1", D203="S"), L203-K203, 0)</f>
        <v>2.083333333333337E-2</v>
      </c>
      <c r="R203" s="11"/>
      <c r="S203" s="11"/>
      <c r="T203" s="11"/>
      <c r="V203" s="11"/>
      <c r="X203" s="11">
        <f t="shared" ref="X203:X267" si="25">SUM(M203:S203)</f>
        <v>2.083333333333337E-2</v>
      </c>
      <c r="Y203" t="s">
        <v>570</v>
      </c>
    </row>
    <row r="204" spans="1:25" outlineLevel="1" x14ac:dyDescent="0.15">
      <c r="A204" s="3">
        <v>37212</v>
      </c>
      <c r="B204" s="3" t="str">
        <f>VLOOKUP(F204, Aircraft!A$2:C$99, 2, FALSE)</f>
        <v>PA28</v>
      </c>
      <c r="C204" t="str">
        <f>VLOOKUP(F204, Aircraft!A$2:C$99, 3, FALSE)</f>
        <v>S</v>
      </c>
      <c r="D204" t="str">
        <f t="shared" si="17"/>
        <v>S</v>
      </c>
      <c r="E204" t="str">
        <f t="shared" si="18"/>
        <v>PA28</v>
      </c>
      <c r="F204" t="s">
        <v>228</v>
      </c>
      <c r="G204" t="s">
        <v>191</v>
      </c>
      <c r="H204" s="2" t="str">
        <f t="shared" si="19"/>
        <v>P1</v>
      </c>
      <c r="I204" t="s">
        <v>250</v>
      </c>
      <c r="J204" t="s">
        <v>58</v>
      </c>
      <c r="K204" s="4">
        <v>0.61111111111111105</v>
      </c>
      <c r="L204" s="4">
        <v>0.66319444444444442</v>
      </c>
      <c r="M204" s="11">
        <f t="shared" si="11"/>
        <v>5.208333333333337E-2</v>
      </c>
      <c r="N204" s="11">
        <f t="shared" si="23"/>
        <v>0</v>
      </c>
      <c r="O204" s="11"/>
      <c r="P204" s="11"/>
      <c r="Q204" s="11"/>
      <c r="R204" s="11"/>
      <c r="S204" s="11"/>
      <c r="T204" s="11"/>
      <c r="U204" s="27">
        <v>1</v>
      </c>
      <c r="V204" s="11"/>
      <c r="X204" s="11">
        <f t="shared" si="25"/>
        <v>5.208333333333337E-2</v>
      </c>
      <c r="Y204" t="s">
        <v>571</v>
      </c>
    </row>
    <row r="205" spans="1:25" outlineLevel="1" x14ac:dyDescent="0.15">
      <c r="A205" s="3">
        <v>37212</v>
      </c>
      <c r="B205" s="3" t="str">
        <f>VLOOKUP(F205, Aircraft!A$2:C$99, 2, FALSE)</f>
        <v>PA28</v>
      </c>
      <c r="C205" t="str">
        <f>VLOOKUP(F205, Aircraft!A$2:C$99, 3, FALSE)</f>
        <v>S</v>
      </c>
      <c r="D205" t="str">
        <f t="shared" si="17"/>
        <v>S</v>
      </c>
      <c r="E205" t="str">
        <f t="shared" si="18"/>
        <v>PA28</v>
      </c>
      <c r="F205" t="s">
        <v>228</v>
      </c>
      <c r="G205" t="s">
        <v>191</v>
      </c>
      <c r="H205" s="2" t="str">
        <f t="shared" si="19"/>
        <v>P1</v>
      </c>
      <c r="I205" t="s">
        <v>58</v>
      </c>
      <c r="J205" t="s">
        <v>250</v>
      </c>
      <c r="K205" s="4">
        <v>0.67013888888888884</v>
      </c>
      <c r="L205" s="4">
        <v>0.71111111111111114</v>
      </c>
      <c r="M205" s="11">
        <f>34/60/24</f>
        <v>2.361111111111111E-2</v>
      </c>
      <c r="N205" s="11">
        <f t="shared" si="23"/>
        <v>0</v>
      </c>
      <c r="O205" s="11"/>
      <c r="P205" s="11"/>
      <c r="Q205" s="11">
        <f>25/60/24</f>
        <v>1.7361111111111112E-2</v>
      </c>
      <c r="R205" s="11"/>
      <c r="S205" s="11"/>
      <c r="T205" s="11"/>
      <c r="V205" s="11"/>
      <c r="X205" s="11">
        <f t="shared" si="25"/>
        <v>4.0972222222222222E-2</v>
      </c>
    </row>
    <row r="206" spans="1:25" outlineLevel="1" x14ac:dyDescent="0.15">
      <c r="A206" s="3">
        <v>37219</v>
      </c>
      <c r="B206" s="3" t="str">
        <f>VLOOKUP(F206, Aircraft!A$2:C$99, 2, FALSE)</f>
        <v>PA34</v>
      </c>
      <c r="C206" t="str">
        <f>VLOOKUP(F206, Aircraft!A$2:C$99, 3, FALSE)</f>
        <v>T</v>
      </c>
      <c r="D206" t="str">
        <f t="shared" si="17"/>
        <v>T</v>
      </c>
      <c r="E206" t="str">
        <f t="shared" si="18"/>
        <v>PA34</v>
      </c>
      <c r="F206" t="s">
        <v>572</v>
      </c>
      <c r="G206" t="s">
        <v>275</v>
      </c>
      <c r="H206" s="2" t="str">
        <f t="shared" si="19"/>
        <v>PUT</v>
      </c>
      <c r="I206" t="s">
        <v>250</v>
      </c>
      <c r="J206" t="s">
        <v>250</v>
      </c>
      <c r="K206" s="4">
        <v>0.58680555555555558</v>
      </c>
      <c r="L206" s="4">
        <v>0.62847222222222221</v>
      </c>
      <c r="M206" s="11">
        <f t="shared" ref="M206:M271" si="26">IF(AND(H206="P1", D206="S"), L206-K206, 0)</f>
        <v>0</v>
      </c>
      <c r="N206" s="11">
        <f t="shared" ref="N206:N271" si="27">IF(AND(H206="PUT", D206="S"), L206-K206, 0)</f>
        <v>0</v>
      </c>
      <c r="O206" s="11">
        <f>IF(AND(H206="P1", D206="T"), L206-K206, 0)</f>
        <v>0</v>
      </c>
      <c r="P206" s="11">
        <f>IF(AND(H206="PUT", D206="T"), L206-K206, 0)</f>
        <v>4.166666666666663E-2</v>
      </c>
      <c r="Q206" s="11"/>
      <c r="R206" s="11"/>
      <c r="S206" s="11"/>
      <c r="T206" s="11"/>
      <c r="V206" s="11"/>
      <c r="X206" s="11">
        <f t="shared" si="25"/>
        <v>4.166666666666663E-2</v>
      </c>
      <c r="Y206" t="s">
        <v>276</v>
      </c>
    </row>
    <row r="207" spans="1:25" outlineLevel="1" x14ac:dyDescent="0.15">
      <c r="A207" s="3">
        <v>37227</v>
      </c>
      <c r="B207" s="3" t="str">
        <f>VLOOKUP(F207, Aircraft!A$2:C$99, 2, FALSE)</f>
        <v>PA34</v>
      </c>
      <c r="C207" t="str">
        <f>VLOOKUP(F207, Aircraft!A$2:C$99, 3, FALSE)</f>
        <v>T</v>
      </c>
      <c r="D207" t="str">
        <f t="shared" ref="D207:D271" si="28">IF(ISNA(C207), "", C207)</f>
        <v>T</v>
      </c>
      <c r="E207" t="str">
        <f t="shared" ref="E207:E264" si="29">IF(ISNA(B207), "", B207)</f>
        <v>PA34</v>
      </c>
      <c r="F207" t="s">
        <v>572</v>
      </c>
      <c r="G207" t="s">
        <v>275</v>
      </c>
      <c r="H207" s="2" t="str">
        <f t="shared" ref="H207:H273" si="30">IF(UPPER(G207)&lt;&gt;"SELF",IF(G207&lt;&gt;"", "PUT", ""),"P1")</f>
        <v>PUT</v>
      </c>
      <c r="I207" t="s">
        <v>250</v>
      </c>
      <c r="J207" t="s">
        <v>250</v>
      </c>
      <c r="K207" s="4">
        <v>0.62847222222222221</v>
      </c>
      <c r="L207" s="4">
        <v>0.65972222222222221</v>
      </c>
      <c r="M207" s="11">
        <f t="shared" si="26"/>
        <v>0</v>
      </c>
      <c r="N207" s="11">
        <f t="shared" si="27"/>
        <v>0</v>
      </c>
      <c r="O207" s="11">
        <f t="shared" ref="O207:O283" si="31">IF(AND(H207="P1", D207="T"), L207-K207, 0)</f>
        <v>0</v>
      </c>
      <c r="P207" s="11">
        <f t="shared" ref="P207:P283" si="32">IF(AND(H207="PUT", D207="T"), L207-K207, 0)</f>
        <v>3.125E-2</v>
      </c>
      <c r="Q207" s="11"/>
      <c r="R207" s="11"/>
      <c r="S207" s="11"/>
      <c r="T207" s="11"/>
      <c r="U207" s="27">
        <v>0.3</v>
      </c>
      <c r="V207" s="11"/>
      <c r="X207" s="11">
        <f t="shared" si="25"/>
        <v>3.125E-2</v>
      </c>
      <c r="Y207" t="s">
        <v>277</v>
      </c>
    </row>
    <row r="208" spans="1:25" outlineLevel="1" x14ac:dyDescent="0.15">
      <c r="A208" s="3">
        <v>37232</v>
      </c>
      <c r="B208" s="3" t="str">
        <f>VLOOKUP(F208, Aircraft!A$2:C$99, 2, FALSE)</f>
        <v>PA34</v>
      </c>
      <c r="C208" t="str">
        <f>VLOOKUP(F208, Aircraft!A$2:C$99, 3, FALSE)</f>
        <v>T</v>
      </c>
      <c r="D208" t="str">
        <f t="shared" si="28"/>
        <v>T</v>
      </c>
      <c r="E208" t="str">
        <f t="shared" si="29"/>
        <v>PA34</v>
      </c>
      <c r="F208" t="s">
        <v>572</v>
      </c>
      <c r="G208" t="s">
        <v>275</v>
      </c>
      <c r="H208" s="2" t="str">
        <f t="shared" si="30"/>
        <v>PUT</v>
      </c>
      <c r="I208" t="s">
        <v>250</v>
      </c>
      <c r="J208" t="s">
        <v>250</v>
      </c>
      <c r="K208" s="4">
        <v>0.46875</v>
      </c>
      <c r="L208" s="4">
        <v>0.51041666666666663</v>
      </c>
      <c r="M208" s="11">
        <f t="shared" si="26"/>
        <v>0</v>
      </c>
      <c r="N208" s="11">
        <f t="shared" si="27"/>
        <v>0</v>
      </c>
      <c r="O208" s="11">
        <f t="shared" si="31"/>
        <v>0</v>
      </c>
      <c r="P208" s="11">
        <f t="shared" si="32"/>
        <v>4.166666666666663E-2</v>
      </c>
      <c r="Q208" s="11"/>
      <c r="R208" s="11"/>
      <c r="S208" s="11"/>
      <c r="T208" s="11"/>
      <c r="V208" s="11"/>
      <c r="X208" s="11">
        <f t="shared" si="25"/>
        <v>4.166666666666663E-2</v>
      </c>
      <c r="Y208" t="s">
        <v>278</v>
      </c>
    </row>
    <row r="209" spans="1:25" outlineLevel="1" x14ac:dyDescent="0.15">
      <c r="A209" s="3">
        <v>37232</v>
      </c>
      <c r="B209" s="3" t="str">
        <f>VLOOKUP(F209, Aircraft!A$2:C$99, 2, FALSE)</f>
        <v>PA34</v>
      </c>
      <c r="C209" t="str">
        <f>VLOOKUP(F209, Aircraft!A$2:C$99, 3, FALSE)</f>
        <v>T</v>
      </c>
      <c r="D209" t="str">
        <f t="shared" si="28"/>
        <v>T</v>
      </c>
      <c r="E209" t="str">
        <f t="shared" si="29"/>
        <v>PA34</v>
      </c>
      <c r="F209" t="s">
        <v>572</v>
      </c>
      <c r="G209" t="s">
        <v>275</v>
      </c>
      <c r="H209" s="2" t="str">
        <f t="shared" si="30"/>
        <v>PUT</v>
      </c>
      <c r="I209" t="s">
        <v>250</v>
      </c>
      <c r="J209" t="s">
        <v>250</v>
      </c>
      <c r="K209" s="4">
        <v>0.60069444444444442</v>
      </c>
      <c r="L209" s="4">
        <v>0.65625</v>
      </c>
      <c r="M209" s="11">
        <f t="shared" si="26"/>
        <v>0</v>
      </c>
      <c r="N209" s="11">
        <f t="shared" si="27"/>
        <v>0</v>
      </c>
      <c r="O209" s="11">
        <f t="shared" si="31"/>
        <v>0</v>
      </c>
      <c r="P209" s="11">
        <f t="shared" si="32"/>
        <v>5.555555555555558E-2</v>
      </c>
      <c r="Q209" s="11"/>
      <c r="R209" s="11"/>
      <c r="S209" s="11"/>
      <c r="T209" s="11"/>
      <c r="V209" s="11"/>
      <c r="X209" s="11">
        <f t="shared" si="25"/>
        <v>5.555555555555558E-2</v>
      </c>
      <c r="Y209" t="s">
        <v>279</v>
      </c>
    </row>
    <row r="210" spans="1:25" outlineLevel="1" x14ac:dyDescent="0.15">
      <c r="A210" s="3">
        <v>37233</v>
      </c>
      <c r="B210" s="3" t="str">
        <f>VLOOKUP(F210, Aircraft!A$2:C$99, 2, FALSE)</f>
        <v>PA34</v>
      </c>
      <c r="C210" t="str">
        <f>VLOOKUP(F210, Aircraft!A$2:C$99, 3, FALSE)</f>
        <v>T</v>
      </c>
      <c r="D210" t="str">
        <f t="shared" si="28"/>
        <v>T</v>
      </c>
      <c r="E210" t="str">
        <f t="shared" si="29"/>
        <v>PA34</v>
      </c>
      <c r="F210" t="s">
        <v>572</v>
      </c>
      <c r="G210" t="s">
        <v>275</v>
      </c>
      <c r="H210" s="2" t="str">
        <f t="shared" si="30"/>
        <v>PUT</v>
      </c>
      <c r="I210" t="s">
        <v>250</v>
      </c>
      <c r="J210" t="s">
        <v>250</v>
      </c>
      <c r="K210" s="4">
        <v>0.52083333333333337</v>
      </c>
      <c r="L210" s="4">
        <v>0.55555555555555558</v>
      </c>
      <c r="M210" s="11">
        <f t="shared" si="26"/>
        <v>0</v>
      </c>
      <c r="N210" s="11">
        <f t="shared" si="27"/>
        <v>0</v>
      </c>
      <c r="O210" s="11">
        <f t="shared" si="31"/>
        <v>0</v>
      </c>
      <c r="P210" s="11">
        <f t="shared" si="32"/>
        <v>3.472222222222221E-2</v>
      </c>
      <c r="Q210" s="11"/>
      <c r="R210" s="11"/>
      <c r="S210" s="11"/>
      <c r="T210" s="11"/>
      <c r="V210" s="11"/>
      <c r="X210" s="11">
        <f t="shared" si="25"/>
        <v>3.472222222222221E-2</v>
      </c>
      <c r="Y210" t="s">
        <v>280</v>
      </c>
    </row>
    <row r="211" spans="1:25" outlineLevel="1" x14ac:dyDescent="0.15">
      <c r="A211" s="3">
        <v>37233</v>
      </c>
      <c r="B211" s="3" t="str">
        <f>VLOOKUP(F211, Aircraft!A$2:C$99, 2, FALSE)</f>
        <v>PA28</v>
      </c>
      <c r="C211" t="str">
        <f>VLOOKUP(F211, Aircraft!A$2:C$99, 3, FALSE)</f>
        <v>S</v>
      </c>
      <c r="D211" t="str">
        <f t="shared" si="28"/>
        <v>S</v>
      </c>
      <c r="E211" t="str">
        <f t="shared" si="29"/>
        <v>PA28</v>
      </c>
      <c r="F211" t="s">
        <v>187</v>
      </c>
      <c r="G211" t="s">
        <v>191</v>
      </c>
      <c r="H211" s="2" t="str">
        <f t="shared" si="30"/>
        <v>P1</v>
      </c>
      <c r="I211" t="s">
        <v>250</v>
      </c>
      <c r="J211" t="s">
        <v>250</v>
      </c>
      <c r="K211" s="4">
        <v>0.60763888888888895</v>
      </c>
      <c r="L211" s="4">
        <v>0.66319444444444442</v>
      </c>
      <c r="M211" s="11">
        <f t="shared" si="26"/>
        <v>5.5555555555555469E-2</v>
      </c>
      <c r="N211" s="11">
        <f t="shared" si="27"/>
        <v>0</v>
      </c>
      <c r="O211" s="11">
        <f t="shared" si="31"/>
        <v>0</v>
      </c>
      <c r="P211" s="11">
        <f t="shared" si="32"/>
        <v>0</v>
      </c>
      <c r="Q211" s="11"/>
      <c r="R211" s="11"/>
      <c r="S211" s="11"/>
      <c r="T211" s="11"/>
      <c r="U211" s="27">
        <v>0.2</v>
      </c>
      <c r="V211" s="11"/>
      <c r="X211" s="11">
        <f t="shared" si="25"/>
        <v>5.5555555555555469E-2</v>
      </c>
      <c r="Y211" t="s">
        <v>268</v>
      </c>
    </row>
    <row r="212" spans="1:25" outlineLevel="1" x14ac:dyDescent="0.15">
      <c r="A212" s="3">
        <v>37235</v>
      </c>
      <c r="B212" s="3" t="str">
        <f>VLOOKUP(F212, Aircraft!A$2:C$99, 2, FALSE)</f>
        <v>PA34</v>
      </c>
      <c r="C212" t="str">
        <f>VLOOKUP(F212, Aircraft!A$2:C$99, 3, FALSE)</f>
        <v>T</v>
      </c>
      <c r="D212" t="str">
        <f t="shared" si="28"/>
        <v>T</v>
      </c>
      <c r="E212" t="str">
        <f t="shared" si="29"/>
        <v>PA34</v>
      </c>
      <c r="F212" t="s">
        <v>572</v>
      </c>
      <c r="G212" t="s">
        <v>275</v>
      </c>
      <c r="H212" s="2" t="str">
        <f t="shared" si="30"/>
        <v>PUT</v>
      </c>
      <c r="I212" t="s">
        <v>250</v>
      </c>
      <c r="J212" t="s">
        <v>14</v>
      </c>
      <c r="K212" s="4">
        <v>0.47916666666666669</v>
      </c>
      <c r="L212" s="4">
        <v>0.52430555555555558</v>
      </c>
      <c r="M212" s="11">
        <f t="shared" si="26"/>
        <v>0</v>
      </c>
      <c r="N212" s="11">
        <f t="shared" si="27"/>
        <v>0</v>
      </c>
      <c r="O212" s="11">
        <f t="shared" si="31"/>
        <v>0</v>
      </c>
      <c r="P212" s="11">
        <f t="shared" si="32"/>
        <v>4.5138888888888895E-2</v>
      </c>
      <c r="Q212" s="11"/>
      <c r="R212" s="11"/>
      <c r="S212" s="11"/>
      <c r="T212" s="11"/>
      <c r="V212" s="11"/>
      <c r="X212" s="11">
        <f t="shared" si="25"/>
        <v>4.5138888888888895E-2</v>
      </c>
      <c r="Y212" t="s">
        <v>269</v>
      </c>
    </row>
    <row r="213" spans="1:25" outlineLevel="1" x14ac:dyDescent="0.15">
      <c r="A213" s="3">
        <v>37235</v>
      </c>
      <c r="B213" s="3" t="str">
        <f>VLOOKUP(F213, Aircraft!A$2:C$99, 2, FALSE)</f>
        <v>PA34</v>
      </c>
      <c r="C213" t="str">
        <f>VLOOKUP(F213, Aircraft!A$2:C$99, 3, FALSE)</f>
        <v>T</v>
      </c>
      <c r="D213" t="str">
        <f t="shared" si="28"/>
        <v>T</v>
      </c>
      <c r="E213" t="str">
        <f t="shared" si="29"/>
        <v>PA34</v>
      </c>
      <c r="F213" t="s">
        <v>572</v>
      </c>
      <c r="G213" t="s">
        <v>275</v>
      </c>
      <c r="H213" s="2" t="str">
        <f t="shared" si="30"/>
        <v>PUT</v>
      </c>
      <c r="I213" t="s">
        <v>14</v>
      </c>
      <c r="J213" t="s">
        <v>250</v>
      </c>
      <c r="K213" s="4">
        <v>0.63194444444444442</v>
      </c>
      <c r="L213" s="4">
        <v>0.67361111111111116</v>
      </c>
      <c r="M213" s="11">
        <f t="shared" si="26"/>
        <v>0</v>
      </c>
      <c r="N213" s="11">
        <f t="shared" si="27"/>
        <v>0</v>
      </c>
      <c r="O213" s="11">
        <f t="shared" si="31"/>
        <v>0</v>
      </c>
      <c r="P213" s="11">
        <f t="shared" si="32"/>
        <v>4.1666666666666741E-2</v>
      </c>
      <c r="Q213" s="11"/>
      <c r="R213" s="11"/>
      <c r="S213" s="11"/>
      <c r="T213" s="11"/>
      <c r="V213" s="11"/>
      <c r="X213" s="11">
        <f t="shared" si="25"/>
        <v>4.1666666666666741E-2</v>
      </c>
      <c r="Y213" t="s">
        <v>270</v>
      </c>
    </row>
    <row r="214" spans="1:25" outlineLevel="1" x14ac:dyDescent="0.15">
      <c r="A214" s="3">
        <v>37239</v>
      </c>
      <c r="B214" s="3" t="str">
        <f>VLOOKUP(F214, Aircraft!A$2:C$99, 2, FALSE)</f>
        <v>PA34</v>
      </c>
      <c r="C214" t="str">
        <f>VLOOKUP(F214, Aircraft!A$2:C$99, 3, FALSE)</f>
        <v>T</v>
      </c>
      <c r="D214" t="str">
        <f t="shared" si="28"/>
        <v>T</v>
      </c>
      <c r="E214" t="str">
        <f t="shared" si="29"/>
        <v>PA34</v>
      </c>
      <c r="F214" t="s">
        <v>572</v>
      </c>
      <c r="G214" t="s">
        <v>275</v>
      </c>
      <c r="H214" s="2" t="str">
        <f t="shared" si="30"/>
        <v>PUT</v>
      </c>
      <c r="I214" t="s">
        <v>250</v>
      </c>
      <c r="J214" t="s">
        <v>250</v>
      </c>
      <c r="K214" s="4">
        <v>0.53472222222222221</v>
      </c>
      <c r="L214" s="4">
        <v>0.56597222222222221</v>
      </c>
      <c r="M214" s="11">
        <f t="shared" si="26"/>
        <v>0</v>
      </c>
      <c r="N214" s="11">
        <f t="shared" si="27"/>
        <v>0</v>
      </c>
      <c r="O214" s="11">
        <f t="shared" si="31"/>
        <v>0</v>
      </c>
      <c r="P214" s="11">
        <f t="shared" si="32"/>
        <v>3.125E-2</v>
      </c>
      <c r="Q214" s="11"/>
      <c r="R214" s="11"/>
      <c r="S214" s="11"/>
      <c r="T214" s="11"/>
      <c r="V214" s="11"/>
      <c r="X214" s="11">
        <f t="shared" si="25"/>
        <v>3.125E-2</v>
      </c>
      <c r="Y214" t="s">
        <v>271</v>
      </c>
    </row>
    <row r="215" spans="1:25" outlineLevel="1" x14ac:dyDescent="0.15">
      <c r="A215" s="3">
        <v>37246</v>
      </c>
      <c r="B215" s="3" t="str">
        <f>VLOOKUP(F215, Aircraft!A$2:C$99, 2, FALSE)</f>
        <v>PA34</v>
      </c>
      <c r="C215" t="str">
        <f>VLOOKUP(F215, Aircraft!A$2:C$99, 3, FALSE)</f>
        <v>T</v>
      </c>
      <c r="D215" t="str">
        <f t="shared" si="28"/>
        <v>T</v>
      </c>
      <c r="E215" t="str">
        <f t="shared" si="29"/>
        <v>PA34</v>
      </c>
      <c r="F215" t="s">
        <v>572</v>
      </c>
      <c r="G215" t="s">
        <v>191</v>
      </c>
      <c r="H215" s="2" t="str">
        <f t="shared" si="30"/>
        <v>P1</v>
      </c>
      <c r="I215" t="s">
        <v>250</v>
      </c>
      <c r="J215" t="s">
        <v>250</v>
      </c>
      <c r="K215" s="4">
        <v>0.61805555555555558</v>
      </c>
      <c r="L215" s="4">
        <v>0.66666666666666663</v>
      </c>
      <c r="M215" s="11">
        <f t="shared" si="26"/>
        <v>0</v>
      </c>
      <c r="N215" s="11">
        <f t="shared" si="27"/>
        <v>0</v>
      </c>
      <c r="O215" s="11">
        <f t="shared" si="31"/>
        <v>4.8611111111111049E-2</v>
      </c>
      <c r="P215" s="11">
        <f t="shared" si="32"/>
        <v>0</v>
      </c>
      <c r="Q215" s="11"/>
      <c r="R215" s="11"/>
      <c r="S215" s="11"/>
      <c r="T215" s="11"/>
      <c r="V215" s="11"/>
      <c r="X215" s="11">
        <f t="shared" si="25"/>
        <v>4.8611111111111049E-2</v>
      </c>
      <c r="Y215" t="s">
        <v>272</v>
      </c>
    </row>
    <row r="216" spans="1:25" outlineLevel="1" x14ac:dyDescent="0.15">
      <c r="A216" s="3">
        <v>37252</v>
      </c>
      <c r="B216" s="3" t="str">
        <f>VLOOKUP(F216, Aircraft!A$2:C$99, 2, FALSE)</f>
        <v>PA34</v>
      </c>
      <c r="C216" t="str">
        <f>VLOOKUP(F216, Aircraft!A$2:C$99, 3, FALSE)</f>
        <v>T</v>
      </c>
      <c r="D216" t="str">
        <f t="shared" si="28"/>
        <v>T</v>
      </c>
      <c r="E216" t="str">
        <f t="shared" si="29"/>
        <v>PA34</v>
      </c>
      <c r="F216" t="s">
        <v>572</v>
      </c>
      <c r="G216" t="s">
        <v>191</v>
      </c>
      <c r="H216" s="2" t="str">
        <f t="shared" si="30"/>
        <v>P1</v>
      </c>
      <c r="I216" t="s">
        <v>250</v>
      </c>
      <c r="J216" t="s">
        <v>250</v>
      </c>
      <c r="K216" s="4">
        <v>0.55902777777777779</v>
      </c>
      <c r="L216" s="4">
        <v>0.59722222222222221</v>
      </c>
      <c r="M216" s="11">
        <f t="shared" si="26"/>
        <v>0</v>
      </c>
      <c r="N216" s="11">
        <f t="shared" si="27"/>
        <v>0</v>
      </c>
      <c r="O216" s="11">
        <f t="shared" si="31"/>
        <v>3.819444444444442E-2</v>
      </c>
      <c r="P216" s="11">
        <f t="shared" si="32"/>
        <v>0</v>
      </c>
      <c r="Q216" s="11"/>
      <c r="R216" s="11"/>
      <c r="S216" s="11"/>
      <c r="T216" s="11"/>
      <c r="V216" s="11"/>
      <c r="X216" s="11">
        <f t="shared" si="25"/>
        <v>3.819444444444442E-2</v>
      </c>
      <c r="Y216" t="s">
        <v>84</v>
      </c>
    </row>
    <row r="217" spans="1:25" x14ac:dyDescent="0.15">
      <c r="O217" s="11"/>
      <c r="P217" s="11"/>
      <c r="Q217" s="11"/>
      <c r="R217" s="11"/>
      <c r="S217" s="11"/>
      <c r="T217" s="11"/>
      <c r="V217" s="11"/>
      <c r="X217" s="11"/>
    </row>
    <row r="218" spans="1:25" outlineLevel="1" x14ac:dyDescent="0.15">
      <c r="A218" s="3">
        <v>37258</v>
      </c>
      <c r="B218" s="3" t="str">
        <f>VLOOKUP(F218, Aircraft!A$2:C$99, 2, FALSE)</f>
        <v>PA34</v>
      </c>
      <c r="C218" t="str">
        <f>VLOOKUP(F218, Aircraft!A$2:C$99, 3, FALSE)</f>
        <v>T</v>
      </c>
      <c r="D218" t="str">
        <f t="shared" si="28"/>
        <v>T</v>
      </c>
      <c r="E218" t="str">
        <f t="shared" si="29"/>
        <v>PA34</v>
      </c>
      <c r="F218" t="s">
        <v>572</v>
      </c>
      <c r="G218" t="s">
        <v>191</v>
      </c>
      <c r="H218" s="2" t="str">
        <f t="shared" si="30"/>
        <v>P1</v>
      </c>
      <c r="I218" t="s">
        <v>250</v>
      </c>
      <c r="J218" t="s">
        <v>250</v>
      </c>
      <c r="K218" s="4">
        <v>0.67013888888888884</v>
      </c>
      <c r="L218" s="4">
        <v>0.74652777777777779</v>
      </c>
      <c r="M218" s="11">
        <f t="shared" si="26"/>
        <v>0</v>
      </c>
      <c r="N218" s="11">
        <f t="shared" si="27"/>
        <v>0</v>
      </c>
      <c r="O218" s="11">
        <f>20/60/24</f>
        <v>1.3888888888888888E-2</v>
      </c>
      <c r="P218" s="11">
        <f t="shared" si="32"/>
        <v>0</v>
      </c>
      <c r="Q218" s="11"/>
      <c r="R218" s="11"/>
      <c r="S218" s="11">
        <f>90/60/24</f>
        <v>6.25E-2</v>
      </c>
      <c r="T218" s="11"/>
      <c r="U218" s="27">
        <v>1.2</v>
      </c>
      <c r="V218" s="11"/>
      <c r="X218" s="11">
        <f t="shared" si="25"/>
        <v>7.6388888888888895E-2</v>
      </c>
      <c r="Y218" t="s">
        <v>85</v>
      </c>
    </row>
    <row r="219" spans="1:25" outlineLevel="1" x14ac:dyDescent="0.15">
      <c r="A219" s="3">
        <v>37259</v>
      </c>
      <c r="B219" s="3" t="str">
        <f>VLOOKUP(F219, Aircraft!A$2:C$99, 2, FALSE)</f>
        <v>PA34</v>
      </c>
      <c r="C219" t="str">
        <f>VLOOKUP(F219, Aircraft!A$2:C$99, 3, FALSE)</f>
        <v>T</v>
      </c>
      <c r="D219" t="str">
        <f t="shared" si="28"/>
        <v>T</v>
      </c>
      <c r="E219" t="str">
        <f t="shared" si="29"/>
        <v>PA34</v>
      </c>
      <c r="F219" t="s">
        <v>572</v>
      </c>
      <c r="G219" t="s">
        <v>191</v>
      </c>
      <c r="H219" s="2" t="str">
        <f t="shared" si="30"/>
        <v>P1</v>
      </c>
      <c r="I219" t="s">
        <v>250</v>
      </c>
      <c r="J219" t="s">
        <v>147</v>
      </c>
      <c r="K219" s="4">
        <v>0.625</v>
      </c>
      <c r="L219" s="4">
        <v>0.69930555555555562</v>
      </c>
      <c r="M219" s="11">
        <f t="shared" si="26"/>
        <v>0</v>
      </c>
      <c r="N219" s="11">
        <f t="shared" si="27"/>
        <v>0</v>
      </c>
      <c r="O219" s="11">
        <f>90/60/24</f>
        <v>6.25E-2</v>
      </c>
      <c r="P219" s="11">
        <f t="shared" si="32"/>
        <v>0</v>
      </c>
      <c r="Q219" s="11"/>
      <c r="R219" s="11"/>
      <c r="S219" s="11">
        <f>17/60/24</f>
        <v>1.1805555555555555E-2</v>
      </c>
      <c r="T219" s="11"/>
      <c r="U219" s="27">
        <v>0.3</v>
      </c>
      <c r="V219" s="11"/>
      <c r="X219" s="11">
        <f t="shared" si="25"/>
        <v>7.4305555555555555E-2</v>
      </c>
      <c r="Y219" t="s">
        <v>86</v>
      </c>
    </row>
    <row r="220" spans="1:25" outlineLevel="1" x14ac:dyDescent="0.15">
      <c r="A220" s="3">
        <v>37289</v>
      </c>
      <c r="B220" s="3" t="str">
        <f>VLOOKUP(F220, Aircraft!A$2:C$99, 2, FALSE)</f>
        <v>PA28</v>
      </c>
      <c r="C220" t="str">
        <f>VLOOKUP(F220, Aircraft!A$2:C$99, 3, FALSE)</f>
        <v>S</v>
      </c>
      <c r="D220" t="str">
        <f t="shared" si="28"/>
        <v>S</v>
      </c>
      <c r="E220" t="str">
        <f t="shared" si="29"/>
        <v>PA28</v>
      </c>
      <c r="F220" t="s">
        <v>228</v>
      </c>
      <c r="G220" t="s">
        <v>191</v>
      </c>
      <c r="H220" s="2" t="str">
        <f t="shared" si="30"/>
        <v>P1</v>
      </c>
      <c r="I220" t="s">
        <v>250</v>
      </c>
      <c r="J220" t="s">
        <v>250</v>
      </c>
      <c r="K220" s="4">
        <v>0.60069444444444442</v>
      </c>
      <c r="L220" s="4">
        <v>0.64236111111111105</v>
      </c>
      <c r="M220" s="11">
        <f t="shared" si="26"/>
        <v>4.166666666666663E-2</v>
      </c>
      <c r="N220" s="11">
        <f t="shared" si="27"/>
        <v>0</v>
      </c>
      <c r="O220" s="11">
        <f t="shared" si="31"/>
        <v>0</v>
      </c>
      <c r="P220" s="11">
        <f t="shared" si="32"/>
        <v>0</v>
      </c>
      <c r="Q220" s="11"/>
      <c r="R220" s="11"/>
      <c r="S220" s="11"/>
      <c r="T220" s="11"/>
      <c r="V220" s="11"/>
      <c r="X220" s="11">
        <f t="shared" si="25"/>
        <v>4.166666666666663E-2</v>
      </c>
      <c r="Y220" t="s">
        <v>88</v>
      </c>
    </row>
    <row r="221" spans="1:25" outlineLevel="1" x14ac:dyDescent="0.15">
      <c r="A221" s="3">
        <v>37311</v>
      </c>
      <c r="B221" s="3" t="str">
        <f>VLOOKUP(F221, Aircraft!A$2:C$99, 2, FALSE)</f>
        <v>PA34</v>
      </c>
      <c r="C221" t="str">
        <f>VLOOKUP(F221, Aircraft!A$2:C$99, 3, FALSE)</f>
        <v>T</v>
      </c>
      <c r="D221" t="str">
        <f t="shared" si="28"/>
        <v>T</v>
      </c>
      <c r="E221" t="str">
        <f t="shared" si="29"/>
        <v>PA34</v>
      </c>
      <c r="F221" t="s">
        <v>572</v>
      </c>
      <c r="G221" t="s">
        <v>191</v>
      </c>
      <c r="H221" s="2" t="str">
        <f t="shared" si="30"/>
        <v>P1</v>
      </c>
      <c r="I221" t="s">
        <v>250</v>
      </c>
      <c r="J221" t="s">
        <v>250</v>
      </c>
      <c r="K221" s="4">
        <v>0.4375</v>
      </c>
      <c r="L221" s="4">
        <v>0.46180555555555558</v>
      </c>
      <c r="M221" s="11">
        <f t="shared" si="26"/>
        <v>0</v>
      </c>
      <c r="N221" s="11">
        <f t="shared" si="27"/>
        <v>0</v>
      </c>
      <c r="O221" s="11">
        <f t="shared" si="31"/>
        <v>2.430555555555558E-2</v>
      </c>
      <c r="P221" s="11">
        <f t="shared" si="32"/>
        <v>0</v>
      </c>
      <c r="Q221" s="11"/>
      <c r="R221" s="11"/>
      <c r="S221" s="11"/>
      <c r="T221" s="11"/>
      <c r="V221" s="11"/>
      <c r="X221" s="11">
        <f t="shared" si="25"/>
        <v>2.430555555555558E-2</v>
      </c>
      <c r="Y221" t="s">
        <v>89</v>
      </c>
    </row>
    <row r="222" spans="1:25" outlineLevel="1" x14ac:dyDescent="0.15">
      <c r="A222" s="3">
        <v>37325</v>
      </c>
      <c r="B222" s="3" t="str">
        <f>VLOOKUP(F222, Aircraft!A$2:C$99, 2, FALSE)</f>
        <v>PA28</v>
      </c>
      <c r="C222" t="str">
        <f>VLOOKUP(F222, Aircraft!A$2:C$99, 3, FALSE)</f>
        <v>S</v>
      </c>
      <c r="D222" t="str">
        <f t="shared" si="28"/>
        <v>S</v>
      </c>
      <c r="E222" t="str">
        <f t="shared" si="29"/>
        <v>PA28</v>
      </c>
      <c r="F222" t="s">
        <v>228</v>
      </c>
      <c r="G222" t="s">
        <v>177</v>
      </c>
      <c r="H222" s="2" t="str">
        <f t="shared" si="30"/>
        <v>PUT</v>
      </c>
      <c r="I222" t="s">
        <v>250</v>
      </c>
      <c r="J222" t="s">
        <v>250</v>
      </c>
      <c r="K222" s="4">
        <v>0.4375</v>
      </c>
      <c r="L222" s="4">
        <v>0.4861111111111111</v>
      </c>
      <c r="M222" s="11">
        <f t="shared" si="26"/>
        <v>0</v>
      </c>
      <c r="N222" s="11">
        <f t="shared" si="27"/>
        <v>4.8611111111111105E-2</v>
      </c>
      <c r="O222" s="11">
        <f t="shared" si="31"/>
        <v>0</v>
      </c>
      <c r="P222" s="11">
        <f t="shared" si="32"/>
        <v>0</v>
      </c>
      <c r="Q222" s="11"/>
      <c r="R222" s="11"/>
      <c r="S222" s="11"/>
      <c r="T222" s="11"/>
      <c r="V222" s="11"/>
      <c r="X222" s="11">
        <f t="shared" si="25"/>
        <v>4.8611111111111105E-2</v>
      </c>
      <c r="Y222" t="s">
        <v>178</v>
      </c>
    </row>
    <row r="223" spans="1:25" outlineLevel="1" x14ac:dyDescent="0.15">
      <c r="A223" s="3">
        <v>37343</v>
      </c>
      <c r="B223" s="3" t="str">
        <f>VLOOKUP(F223, Aircraft!A$2:C$99, 2, FALSE)</f>
        <v>PA28</v>
      </c>
      <c r="C223" t="str">
        <f>VLOOKUP(F223, Aircraft!A$2:C$99, 3, FALSE)</f>
        <v>S</v>
      </c>
      <c r="D223" t="str">
        <f t="shared" si="28"/>
        <v>S</v>
      </c>
      <c r="E223" t="str">
        <f t="shared" si="29"/>
        <v>PA28</v>
      </c>
      <c r="F223" t="s">
        <v>179</v>
      </c>
      <c r="G223" t="s">
        <v>191</v>
      </c>
      <c r="H223" s="2" t="str">
        <f t="shared" si="30"/>
        <v>P1</v>
      </c>
      <c r="I223" t="s">
        <v>250</v>
      </c>
      <c r="J223" t="s">
        <v>250</v>
      </c>
      <c r="K223" s="4">
        <v>0.58333333333333337</v>
      </c>
      <c r="L223" s="4">
        <v>0.60416666666666663</v>
      </c>
      <c r="M223" s="11">
        <f t="shared" si="26"/>
        <v>2.0833333333333259E-2</v>
      </c>
      <c r="N223" s="11">
        <f t="shared" si="27"/>
        <v>0</v>
      </c>
      <c r="O223" s="11">
        <f t="shared" si="31"/>
        <v>0</v>
      </c>
      <c r="P223" s="11">
        <f t="shared" si="32"/>
        <v>0</v>
      </c>
      <c r="Q223" s="11"/>
      <c r="R223" s="11"/>
      <c r="S223" s="11"/>
      <c r="T223" s="11"/>
      <c r="V223" s="11"/>
      <c r="X223" s="11">
        <f t="shared" si="25"/>
        <v>2.0833333333333259E-2</v>
      </c>
      <c r="Y223" t="s">
        <v>126</v>
      </c>
    </row>
    <row r="224" spans="1:25" outlineLevel="1" x14ac:dyDescent="0.15">
      <c r="A224" s="3">
        <v>37344</v>
      </c>
      <c r="B224" s="3" t="str">
        <f>VLOOKUP(F224, Aircraft!A$2:C$99, 2, FALSE)</f>
        <v>PA34</v>
      </c>
      <c r="C224" t="str">
        <f>VLOOKUP(F224, Aircraft!A$2:C$99, 3, FALSE)</f>
        <v>T</v>
      </c>
      <c r="D224" t="str">
        <f t="shared" si="28"/>
        <v>T</v>
      </c>
      <c r="E224" t="str">
        <f t="shared" si="29"/>
        <v>PA34</v>
      </c>
      <c r="F224" t="s">
        <v>572</v>
      </c>
      <c r="G224" t="s">
        <v>191</v>
      </c>
      <c r="H224" s="2" t="str">
        <f t="shared" si="30"/>
        <v>P1</v>
      </c>
      <c r="I224" t="s">
        <v>250</v>
      </c>
      <c r="J224" t="s">
        <v>162</v>
      </c>
      <c r="K224" s="4">
        <v>0.52083333333333337</v>
      </c>
      <c r="L224" s="4">
        <v>0.57847222222222217</v>
      </c>
      <c r="M224" s="11">
        <f t="shared" si="26"/>
        <v>0</v>
      </c>
      <c r="N224" s="11">
        <f t="shared" si="27"/>
        <v>0</v>
      </c>
      <c r="O224" s="11">
        <f t="shared" si="31"/>
        <v>5.7638888888888795E-2</v>
      </c>
      <c r="P224" s="11">
        <f t="shared" si="32"/>
        <v>0</v>
      </c>
      <c r="Q224" s="11"/>
      <c r="R224" s="11"/>
      <c r="S224" s="11"/>
      <c r="T224" s="11"/>
      <c r="V224" s="11"/>
      <c r="X224" s="11">
        <f t="shared" si="25"/>
        <v>5.7638888888888795E-2</v>
      </c>
      <c r="Y224" t="s">
        <v>127</v>
      </c>
    </row>
    <row r="225" spans="1:25" outlineLevel="1" x14ac:dyDescent="0.15">
      <c r="A225" s="3">
        <v>37344</v>
      </c>
      <c r="B225" s="3" t="str">
        <f>VLOOKUP(F225, Aircraft!A$2:C$99, 2, FALSE)</f>
        <v>PA34</v>
      </c>
      <c r="C225" t="str">
        <f>VLOOKUP(F225, Aircraft!A$2:C$99, 3, FALSE)</f>
        <v>T</v>
      </c>
      <c r="D225" t="str">
        <f t="shared" si="28"/>
        <v>T</v>
      </c>
      <c r="E225" t="str">
        <f t="shared" si="29"/>
        <v>PA34</v>
      </c>
      <c r="F225" t="s">
        <v>572</v>
      </c>
      <c r="G225" t="s">
        <v>191</v>
      </c>
      <c r="H225" s="2" t="str">
        <f t="shared" si="30"/>
        <v>P1</v>
      </c>
      <c r="I225" t="s">
        <v>162</v>
      </c>
      <c r="J225" t="s">
        <v>162</v>
      </c>
      <c r="K225" s="4">
        <v>0.70138888888888884</v>
      </c>
      <c r="L225" s="4">
        <v>0.71875</v>
      </c>
      <c r="M225" s="11">
        <f t="shared" si="26"/>
        <v>0</v>
      </c>
      <c r="N225" s="11">
        <f t="shared" si="27"/>
        <v>0</v>
      </c>
      <c r="O225" s="11">
        <f t="shared" si="31"/>
        <v>1.736111111111116E-2</v>
      </c>
      <c r="P225" s="11">
        <f t="shared" si="32"/>
        <v>0</v>
      </c>
      <c r="Q225" s="11"/>
      <c r="R225" s="11"/>
      <c r="S225" s="11"/>
      <c r="T225" s="11"/>
      <c r="V225" s="11"/>
      <c r="X225" s="11">
        <f t="shared" si="25"/>
        <v>1.736111111111116E-2</v>
      </c>
    </row>
    <row r="226" spans="1:25" outlineLevel="1" x14ac:dyDescent="0.15">
      <c r="A226" s="3">
        <v>37344</v>
      </c>
      <c r="B226" s="3" t="str">
        <f>VLOOKUP(F226, Aircraft!A$2:C$99, 2, FALSE)</f>
        <v>PA34</v>
      </c>
      <c r="C226" t="str">
        <f>VLOOKUP(F226, Aircraft!A$2:C$99, 3, FALSE)</f>
        <v>T</v>
      </c>
      <c r="D226" t="str">
        <f t="shared" si="28"/>
        <v>T</v>
      </c>
      <c r="E226" t="str">
        <f t="shared" si="29"/>
        <v>PA34</v>
      </c>
      <c r="F226" t="s">
        <v>572</v>
      </c>
      <c r="G226" t="s">
        <v>191</v>
      </c>
      <c r="H226" s="2" t="str">
        <f t="shared" si="30"/>
        <v>P1</v>
      </c>
      <c r="I226" t="s">
        <v>162</v>
      </c>
      <c r="J226" t="s">
        <v>250</v>
      </c>
      <c r="K226" s="4">
        <v>0.73958333333333337</v>
      </c>
      <c r="L226" s="4">
        <v>0.79513888888888884</v>
      </c>
      <c r="M226" s="11">
        <f t="shared" si="26"/>
        <v>0</v>
      </c>
      <c r="N226" s="11">
        <f t="shared" si="27"/>
        <v>0</v>
      </c>
      <c r="O226" s="11">
        <f>45/60/24</f>
        <v>3.125E-2</v>
      </c>
      <c r="P226" s="11">
        <f t="shared" si="32"/>
        <v>0</v>
      </c>
      <c r="Q226" s="11"/>
      <c r="R226" s="11"/>
      <c r="S226" s="11">
        <f>35/60/24</f>
        <v>2.4305555555555556E-2</v>
      </c>
      <c r="T226" s="11"/>
      <c r="V226" s="11"/>
      <c r="X226" s="11">
        <f t="shared" si="25"/>
        <v>5.5555555555555552E-2</v>
      </c>
    </row>
    <row r="227" spans="1:25" outlineLevel="1" x14ac:dyDescent="0.15">
      <c r="A227" s="3">
        <v>37349</v>
      </c>
      <c r="B227" s="3" t="str">
        <f>VLOOKUP(F227, Aircraft!A$2:C$99, 2, FALSE)</f>
        <v>PA28</v>
      </c>
      <c r="C227" t="str">
        <f>VLOOKUP(F227, Aircraft!A$2:C$99, 3, FALSE)</f>
        <v>S</v>
      </c>
      <c r="D227" t="str">
        <f t="shared" si="28"/>
        <v>S</v>
      </c>
      <c r="E227" t="str">
        <f t="shared" si="29"/>
        <v>PA28</v>
      </c>
      <c r="F227" t="s">
        <v>128</v>
      </c>
      <c r="G227" t="s">
        <v>191</v>
      </c>
      <c r="H227" s="2" t="str">
        <f t="shared" si="30"/>
        <v>P1</v>
      </c>
      <c r="I227" t="s">
        <v>355</v>
      </c>
      <c r="J227" t="s">
        <v>250</v>
      </c>
      <c r="K227" s="4">
        <v>0.63749999999999996</v>
      </c>
      <c r="L227" s="4">
        <v>0.67708333333333337</v>
      </c>
      <c r="M227" s="11">
        <f t="shared" si="26"/>
        <v>3.9583333333333415E-2</v>
      </c>
      <c r="N227" s="11">
        <f t="shared" si="27"/>
        <v>0</v>
      </c>
      <c r="O227" s="11">
        <f t="shared" si="31"/>
        <v>0</v>
      </c>
      <c r="P227" s="11">
        <f t="shared" si="32"/>
        <v>0</v>
      </c>
      <c r="Q227" s="11"/>
      <c r="R227" s="11"/>
      <c r="S227" s="11"/>
      <c r="T227" s="11"/>
      <c r="V227" s="11"/>
      <c r="X227" s="11">
        <f t="shared" si="25"/>
        <v>3.9583333333333415E-2</v>
      </c>
      <c r="Y227" t="s">
        <v>129</v>
      </c>
    </row>
    <row r="228" spans="1:25" outlineLevel="1" x14ac:dyDescent="0.15">
      <c r="A228" s="3">
        <v>37358</v>
      </c>
      <c r="B228" s="3" t="str">
        <f>VLOOKUP(F228, Aircraft!A$2:C$99, 2, FALSE)</f>
        <v>PA34</v>
      </c>
      <c r="C228" t="str">
        <f>VLOOKUP(F228, Aircraft!A$2:C$99, 3, FALSE)</f>
        <v>T</v>
      </c>
      <c r="D228" t="str">
        <f t="shared" si="28"/>
        <v>T</v>
      </c>
      <c r="E228" t="str">
        <f t="shared" si="29"/>
        <v>PA34</v>
      </c>
      <c r="F228" t="s">
        <v>572</v>
      </c>
      <c r="G228" t="s">
        <v>191</v>
      </c>
      <c r="H228" s="2" t="str">
        <f t="shared" si="30"/>
        <v>P1</v>
      </c>
      <c r="I228" t="s">
        <v>250</v>
      </c>
      <c r="J228" t="s">
        <v>62</v>
      </c>
      <c r="K228" s="4">
        <v>0.64236111111111105</v>
      </c>
      <c r="L228" s="4">
        <v>0.68888888888888899</v>
      </c>
      <c r="M228" s="11">
        <f t="shared" si="26"/>
        <v>0</v>
      </c>
      <c r="N228" s="11">
        <f t="shared" si="27"/>
        <v>0</v>
      </c>
      <c r="O228" s="11">
        <f t="shared" si="31"/>
        <v>4.6527777777777946E-2</v>
      </c>
      <c r="P228" s="11">
        <f t="shared" si="32"/>
        <v>0</v>
      </c>
      <c r="Q228" s="11"/>
      <c r="R228" s="11"/>
      <c r="S228" s="11"/>
      <c r="T228" s="11"/>
      <c r="V228" s="11"/>
      <c r="X228" s="11">
        <f t="shared" si="25"/>
        <v>4.6527777777777946E-2</v>
      </c>
      <c r="Y228" t="s">
        <v>436</v>
      </c>
    </row>
    <row r="229" spans="1:25" outlineLevel="1" x14ac:dyDescent="0.15">
      <c r="A229" s="3">
        <v>37358</v>
      </c>
      <c r="B229" s="3" t="str">
        <f>VLOOKUP(F229, Aircraft!A$2:C$99, 2, FALSE)</f>
        <v>PA34</v>
      </c>
      <c r="C229" t="str">
        <f>VLOOKUP(F229, Aircraft!A$2:C$99, 3, FALSE)</f>
        <v>T</v>
      </c>
      <c r="D229" t="str">
        <f t="shared" si="28"/>
        <v>T</v>
      </c>
      <c r="E229" t="str">
        <f t="shared" si="29"/>
        <v>PA34</v>
      </c>
      <c r="F229" t="s">
        <v>572</v>
      </c>
      <c r="G229" t="s">
        <v>191</v>
      </c>
      <c r="H229" s="2" t="str">
        <f t="shared" si="30"/>
        <v>P1</v>
      </c>
      <c r="I229" t="s">
        <v>62</v>
      </c>
      <c r="J229" t="s">
        <v>250</v>
      </c>
      <c r="K229" s="4">
        <v>0.72986111111111107</v>
      </c>
      <c r="L229" s="4">
        <v>0.77013888888888893</v>
      </c>
      <c r="M229" s="11">
        <f t="shared" si="26"/>
        <v>0</v>
      </c>
      <c r="N229" s="11">
        <f t="shared" si="27"/>
        <v>0</v>
      </c>
      <c r="O229" s="11">
        <f t="shared" si="31"/>
        <v>4.0277777777777857E-2</v>
      </c>
      <c r="P229" s="11">
        <f t="shared" si="32"/>
        <v>0</v>
      </c>
      <c r="Q229" s="11"/>
      <c r="R229" s="11"/>
      <c r="S229" s="11"/>
      <c r="T229" s="11"/>
      <c r="V229" s="11"/>
      <c r="X229" s="11">
        <f t="shared" si="25"/>
        <v>4.0277777777777857E-2</v>
      </c>
    </row>
    <row r="230" spans="1:25" outlineLevel="1" x14ac:dyDescent="0.15">
      <c r="A230" s="3">
        <v>37373</v>
      </c>
      <c r="B230" s="3" t="str">
        <f>VLOOKUP(F230, Aircraft!A$2:C$99, 2, FALSE)</f>
        <v>PA28</v>
      </c>
      <c r="C230" t="str">
        <f>VLOOKUP(F230, Aircraft!A$2:C$99, 3, FALSE)</f>
        <v>S</v>
      </c>
      <c r="D230" t="str">
        <f t="shared" si="28"/>
        <v>S</v>
      </c>
      <c r="E230" t="str">
        <f t="shared" si="29"/>
        <v>PA28</v>
      </c>
      <c r="F230" t="s">
        <v>187</v>
      </c>
      <c r="G230" t="s">
        <v>191</v>
      </c>
      <c r="H230" s="2" t="str">
        <f t="shared" si="30"/>
        <v>P1</v>
      </c>
      <c r="I230" t="s">
        <v>250</v>
      </c>
      <c r="J230" t="s">
        <v>26</v>
      </c>
      <c r="K230" s="4">
        <v>0.44444444444444442</v>
      </c>
      <c r="L230" s="4">
        <v>0.47916666666666669</v>
      </c>
      <c r="M230" s="11">
        <f t="shared" si="26"/>
        <v>3.4722222222222265E-2</v>
      </c>
      <c r="N230" s="11">
        <f t="shared" si="27"/>
        <v>0</v>
      </c>
      <c r="O230" s="11">
        <f t="shared" si="31"/>
        <v>0</v>
      </c>
      <c r="P230" s="11">
        <f t="shared" si="32"/>
        <v>0</v>
      </c>
      <c r="Q230" s="11"/>
      <c r="R230" s="11"/>
      <c r="S230" s="11"/>
      <c r="T230" s="11"/>
      <c r="V230" s="11"/>
      <c r="X230" s="11">
        <f t="shared" si="25"/>
        <v>3.4722222222222265E-2</v>
      </c>
    </row>
    <row r="231" spans="1:25" outlineLevel="1" x14ac:dyDescent="0.15">
      <c r="A231" s="3">
        <v>37373</v>
      </c>
      <c r="B231" s="3" t="str">
        <f>VLOOKUP(F231, Aircraft!A$2:C$99, 2, FALSE)</f>
        <v>PA28</v>
      </c>
      <c r="C231" t="str">
        <f>VLOOKUP(F231, Aircraft!A$2:C$99, 3, FALSE)</f>
        <v>S</v>
      </c>
      <c r="D231" t="str">
        <f t="shared" si="28"/>
        <v>S</v>
      </c>
      <c r="E231" t="str">
        <f t="shared" si="29"/>
        <v>PA28</v>
      </c>
      <c r="F231" t="s">
        <v>187</v>
      </c>
      <c r="G231" t="s">
        <v>191</v>
      </c>
      <c r="H231" s="2" t="str">
        <f t="shared" si="30"/>
        <v>P1</v>
      </c>
      <c r="I231" t="s">
        <v>26</v>
      </c>
      <c r="J231" t="s">
        <v>250</v>
      </c>
      <c r="K231" s="4">
        <v>0.52083333333333337</v>
      </c>
      <c r="L231" s="4">
        <v>0.54513888888888895</v>
      </c>
      <c r="M231" s="11">
        <f t="shared" si="26"/>
        <v>2.430555555555558E-2</v>
      </c>
      <c r="N231" s="11">
        <f t="shared" si="27"/>
        <v>0</v>
      </c>
      <c r="O231" s="11">
        <f t="shared" si="31"/>
        <v>0</v>
      </c>
      <c r="P231" s="11">
        <f t="shared" si="32"/>
        <v>0</v>
      </c>
      <c r="Q231" s="11"/>
      <c r="R231" s="11"/>
      <c r="S231" s="11"/>
      <c r="T231" s="11"/>
      <c r="V231" s="11"/>
      <c r="X231" s="11">
        <f t="shared" si="25"/>
        <v>2.430555555555558E-2</v>
      </c>
    </row>
    <row r="232" spans="1:25" outlineLevel="1" x14ac:dyDescent="0.15">
      <c r="A232" s="3">
        <v>37379</v>
      </c>
      <c r="B232" s="3" t="str">
        <f>VLOOKUP(F232, Aircraft!A$2:C$99, 2, FALSE)</f>
        <v>PA34</v>
      </c>
      <c r="C232" t="str">
        <f>VLOOKUP(F232, Aircraft!A$2:C$99, 3, FALSE)</f>
        <v>T</v>
      </c>
      <c r="D232" t="str">
        <f t="shared" si="28"/>
        <v>T</v>
      </c>
      <c r="E232" t="str">
        <f t="shared" si="29"/>
        <v>PA34</v>
      </c>
      <c r="F232" t="s">
        <v>572</v>
      </c>
      <c r="G232" t="s">
        <v>191</v>
      </c>
      <c r="H232" s="2" t="str">
        <f t="shared" si="30"/>
        <v>P1</v>
      </c>
      <c r="I232" t="s">
        <v>250</v>
      </c>
      <c r="J232" t="s">
        <v>64</v>
      </c>
      <c r="K232" s="15">
        <v>0.50138888888888888</v>
      </c>
      <c r="L232" s="4">
        <v>0.6</v>
      </c>
      <c r="M232" s="11">
        <f t="shared" si="26"/>
        <v>0</v>
      </c>
      <c r="N232" s="11">
        <f t="shared" si="27"/>
        <v>0</v>
      </c>
      <c r="O232" s="11">
        <f t="shared" si="31"/>
        <v>9.8611111111111094E-2</v>
      </c>
      <c r="P232" s="11">
        <f t="shared" si="32"/>
        <v>0</v>
      </c>
      <c r="Q232" s="11"/>
      <c r="R232" s="11"/>
      <c r="S232" s="11"/>
      <c r="T232" s="11"/>
      <c r="V232" s="11"/>
      <c r="X232" s="11">
        <f t="shared" si="25"/>
        <v>9.8611111111111094E-2</v>
      </c>
    </row>
    <row r="233" spans="1:25" outlineLevel="1" x14ac:dyDescent="0.15">
      <c r="A233" s="3">
        <v>37380</v>
      </c>
      <c r="B233" s="3" t="str">
        <f>VLOOKUP(F233, Aircraft!A$2:C$99, 2, FALSE)</f>
        <v>PA34</v>
      </c>
      <c r="C233" t="str">
        <f>VLOOKUP(F233, Aircraft!A$2:C$99, 3, FALSE)</f>
        <v>T</v>
      </c>
      <c r="D233" t="str">
        <f t="shared" si="28"/>
        <v>T</v>
      </c>
      <c r="E233" t="str">
        <f t="shared" si="29"/>
        <v>PA34</v>
      </c>
      <c r="F233" t="s">
        <v>572</v>
      </c>
      <c r="G233" t="s">
        <v>191</v>
      </c>
      <c r="H233" s="2" t="str">
        <f t="shared" si="30"/>
        <v>P1</v>
      </c>
      <c r="I233" t="s">
        <v>64</v>
      </c>
      <c r="J233" t="s">
        <v>64</v>
      </c>
      <c r="K233" s="4">
        <v>0.3576388888888889</v>
      </c>
      <c r="L233" s="4">
        <v>0.37847222222222227</v>
      </c>
      <c r="M233" s="11">
        <f t="shared" si="26"/>
        <v>0</v>
      </c>
      <c r="N233" s="11">
        <f t="shared" si="27"/>
        <v>0</v>
      </c>
      <c r="O233" s="11">
        <f t="shared" si="31"/>
        <v>2.083333333333337E-2</v>
      </c>
      <c r="P233" s="11">
        <f t="shared" si="32"/>
        <v>0</v>
      </c>
      <c r="Q233" s="11"/>
      <c r="R233" s="11"/>
      <c r="S233" s="11"/>
      <c r="T233" s="11"/>
      <c r="V233" s="11"/>
      <c r="X233" s="11">
        <f t="shared" si="25"/>
        <v>2.083333333333337E-2</v>
      </c>
    </row>
    <row r="234" spans="1:25" outlineLevel="1" x14ac:dyDescent="0.15">
      <c r="A234" s="3">
        <v>37380</v>
      </c>
      <c r="B234" s="3" t="str">
        <f>VLOOKUP(F234, Aircraft!A$2:C$99, 2, FALSE)</f>
        <v>PA34</v>
      </c>
      <c r="C234" t="str">
        <f>VLOOKUP(F234, Aircraft!A$2:C$99, 3, FALSE)</f>
        <v>T</v>
      </c>
      <c r="D234" t="str">
        <f t="shared" si="28"/>
        <v>T</v>
      </c>
      <c r="E234" t="str">
        <f>IF(ISNA(B234), "", B234)</f>
        <v>PA34</v>
      </c>
      <c r="F234" t="s">
        <v>572</v>
      </c>
      <c r="G234" t="s">
        <v>191</v>
      </c>
      <c r="H234" s="2" t="str">
        <f t="shared" si="30"/>
        <v>P1</v>
      </c>
      <c r="I234" t="s">
        <v>64</v>
      </c>
      <c r="J234" t="s">
        <v>64</v>
      </c>
      <c r="K234" s="4">
        <v>0.38541666666666669</v>
      </c>
      <c r="L234" s="4">
        <v>0.40347222222222223</v>
      </c>
      <c r="M234" s="11">
        <f>IF(AND(H234="P1", D234="S"), L234-K234, 0)</f>
        <v>0</v>
      </c>
      <c r="N234" s="11">
        <f>IF(AND(H234="PUT", D234="S"), L234-K234, 0)</f>
        <v>0</v>
      </c>
      <c r="O234" s="11">
        <f>IF(AND(H234="P1", D234="T"), L234-K234, 0)</f>
        <v>1.8055555555555547E-2</v>
      </c>
      <c r="P234" s="11">
        <f>IF(AND(H234="PUT", D234="T"), L234-K234, 0)</f>
        <v>0</v>
      </c>
      <c r="Q234" s="11"/>
      <c r="R234" s="11"/>
      <c r="S234" s="11"/>
      <c r="T234" s="11"/>
      <c r="V234" s="11"/>
      <c r="X234" s="11">
        <f t="shared" si="25"/>
        <v>1.8055555555555547E-2</v>
      </c>
    </row>
    <row r="235" spans="1:25" outlineLevel="1" x14ac:dyDescent="0.15">
      <c r="A235" s="3">
        <v>37381</v>
      </c>
      <c r="B235" s="3" t="str">
        <f>VLOOKUP(F235, Aircraft!A$2:C$99, 2, FALSE)</f>
        <v>PA34</v>
      </c>
      <c r="C235" t="str">
        <f>VLOOKUP(F235, Aircraft!A$2:C$99, 3, FALSE)</f>
        <v>T</v>
      </c>
      <c r="D235" t="str">
        <f t="shared" si="28"/>
        <v>T</v>
      </c>
      <c r="E235" t="str">
        <f t="shared" si="29"/>
        <v>PA34</v>
      </c>
      <c r="F235" t="s">
        <v>572</v>
      </c>
      <c r="G235" t="s">
        <v>191</v>
      </c>
      <c r="H235" s="2" t="str">
        <f t="shared" si="30"/>
        <v>P1</v>
      </c>
      <c r="I235" t="s">
        <v>64</v>
      </c>
      <c r="J235" t="s">
        <v>64</v>
      </c>
      <c r="K235" s="4">
        <v>0.47430555555555554</v>
      </c>
      <c r="L235" s="4">
        <v>0.49027777777777781</v>
      </c>
      <c r="M235" s="11">
        <f t="shared" si="26"/>
        <v>0</v>
      </c>
      <c r="N235" s="11">
        <f t="shared" si="27"/>
        <v>0</v>
      </c>
      <c r="O235" s="11">
        <f t="shared" si="31"/>
        <v>1.5972222222222276E-2</v>
      </c>
      <c r="P235" s="11">
        <f t="shared" si="32"/>
        <v>0</v>
      </c>
      <c r="Q235" s="11"/>
      <c r="R235" s="11"/>
      <c r="S235" s="11"/>
      <c r="T235" s="11"/>
      <c r="V235" s="11"/>
      <c r="X235" s="11">
        <f t="shared" si="25"/>
        <v>1.5972222222222276E-2</v>
      </c>
      <c r="Y235" t="s">
        <v>437</v>
      </c>
    </row>
    <row r="236" spans="1:25" outlineLevel="1" x14ac:dyDescent="0.15">
      <c r="A236" s="3">
        <v>37381</v>
      </c>
      <c r="B236" s="3" t="str">
        <f>VLOOKUP(F236, Aircraft!A$2:C$99, 2, FALSE)</f>
        <v>PA34</v>
      </c>
      <c r="C236" t="str">
        <f>VLOOKUP(F236, Aircraft!A$2:C$99, 3, FALSE)</f>
        <v>T</v>
      </c>
      <c r="D236" t="str">
        <f t="shared" si="28"/>
        <v>T</v>
      </c>
      <c r="E236" t="str">
        <f t="shared" si="29"/>
        <v>PA34</v>
      </c>
      <c r="F236" t="s">
        <v>572</v>
      </c>
      <c r="G236" t="s">
        <v>191</v>
      </c>
      <c r="H236" s="2" t="str">
        <f t="shared" si="30"/>
        <v>P1</v>
      </c>
      <c r="I236" t="s">
        <v>64</v>
      </c>
      <c r="J236" t="s">
        <v>250</v>
      </c>
      <c r="K236" s="4">
        <v>0.49027777777777781</v>
      </c>
      <c r="L236" s="4">
        <v>0.57777777777777783</v>
      </c>
      <c r="M236" s="11">
        <f t="shared" si="26"/>
        <v>0</v>
      </c>
      <c r="N236" s="11">
        <f t="shared" si="27"/>
        <v>0</v>
      </c>
      <c r="O236" s="11">
        <f t="shared" si="31"/>
        <v>8.7500000000000022E-2</v>
      </c>
      <c r="P236" s="11">
        <f t="shared" si="32"/>
        <v>0</v>
      </c>
      <c r="Q236" s="11"/>
      <c r="R236" s="11"/>
      <c r="S236" s="11"/>
      <c r="T236" s="11"/>
      <c r="V236" s="11"/>
      <c r="X236" s="11">
        <f t="shared" si="25"/>
        <v>8.7500000000000022E-2</v>
      </c>
      <c r="Y236" t="s">
        <v>438</v>
      </c>
    </row>
    <row r="237" spans="1:25" outlineLevel="1" x14ac:dyDescent="0.15">
      <c r="A237" s="3">
        <v>37388</v>
      </c>
      <c r="B237" s="3" t="str">
        <f>VLOOKUP(F237, Aircraft!A$2:C$99, 2, FALSE)</f>
        <v>PA34</v>
      </c>
      <c r="C237" t="str">
        <f>VLOOKUP(F237, Aircraft!A$2:C$99, 3, FALSE)</f>
        <v>T</v>
      </c>
      <c r="D237" t="str">
        <f t="shared" si="28"/>
        <v>T</v>
      </c>
      <c r="E237" t="str">
        <f t="shared" si="29"/>
        <v>PA34</v>
      </c>
      <c r="F237" t="s">
        <v>572</v>
      </c>
      <c r="G237" t="s">
        <v>191</v>
      </c>
      <c r="H237" s="2" t="str">
        <f t="shared" si="30"/>
        <v>P1</v>
      </c>
      <c r="I237" t="s">
        <v>250</v>
      </c>
      <c r="J237" t="s">
        <v>75</v>
      </c>
      <c r="K237" s="4">
        <v>0.53125</v>
      </c>
      <c r="L237" s="4">
        <v>0.57013888888888886</v>
      </c>
      <c r="M237" s="11">
        <f t="shared" si="26"/>
        <v>0</v>
      </c>
      <c r="N237" s="11">
        <f t="shared" si="27"/>
        <v>0</v>
      </c>
      <c r="O237" s="11">
        <f t="shared" si="31"/>
        <v>3.8888888888888862E-2</v>
      </c>
      <c r="P237" s="11">
        <f t="shared" si="32"/>
        <v>0</v>
      </c>
      <c r="Q237" s="11"/>
      <c r="R237" s="11"/>
      <c r="S237" s="11"/>
      <c r="T237" s="11"/>
      <c r="V237" s="11"/>
      <c r="X237" s="11">
        <f t="shared" si="25"/>
        <v>3.8888888888888862E-2</v>
      </c>
      <c r="Y237" t="s">
        <v>439</v>
      </c>
    </row>
    <row r="238" spans="1:25" outlineLevel="1" x14ac:dyDescent="0.15">
      <c r="A238" s="3">
        <v>37394</v>
      </c>
      <c r="B238" s="3" t="str">
        <f>VLOOKUP(F238, Aircraft!A$2:C$99, 2, FALSE)</f>
        <v>PA34</v>
      </c>
      <c r="C238" t="str">
        <f>VLOOKUP(F238, Aircraft!A$2:C$99, 3, FALSE)</f>
        <v>T</v>
      </c>
      <c r="D238" t="str">
        <f t="shared" si="28"/>
        <v>T</v>
      </c>
      <c r="E238" t="str">
        <f t="shared" si="29"/>
        <v>PA34</v>
      </c>
      <c r="F238" t="s">
        <v>572</v>
      </c>
      <c r="G238" t="s">
        <v>191</v>
      </c>
      <c r="H238" s="2" t="str">
        <f t="shared" si="30"/>
        <v>P1</v>
      </c>
      <c r="I238" t="s">
        <v>250</v>
      </c>
      <c r="J238" t="s">
        <v>20</v>
      </c>
      <c r="K238" s="4">
        <v>0.37361111111111112</v>
      </c>
      <c r="L238" s="4">
        <v>0.41249999999999998</v>
      </c>
      <c r="M238" s="11">
        <f t="shared" si="26"/>
        <v>0</v>
      </c>
      <c r="N238" s="11">
        <f t="shared" si="27"/>
        <v>0</v>
      </c>
      <c r="O238" s="11">
        <f t="shared" si="31"/>
        <v>3.8888888888888862E-2</v>
      </c>
      <c r="P238" s="11">
        <f t="shared" si="32"/>
        <v>0</v>
      </c>
      <c r="Q238" s="11"/>
      <c r="R238" s="11"/>
      <c r="S238" s="11"/>
      <c r="T238" s="11"/>
      <c r="V238" s="11"/>
      <c r="X238" s="11">
        <f t="shared" si="25"/>
        <v>3.8888888888888862E-2</v>
      </c>
    </row>
    <row r="239" spans="1:25" outlineLevel="1" x14ac:dyDescent="0.15">
      <c r="A239" s="3">
        <v>37394</v>
      </c>
      <c r="B239" s="3" t="str">
        <f>VLOOKUP(F239, Aircraft!A$2:C$99, 2, FALSE)</f>
        <v>PA34</v>
      </c>
      <c r="C239" t="str">
        <f>VLOOKUP(F239, Aircraft!A$2:C$99, 3, FALSE)</f>
        <v>T</v>
      </c>
      <c r="D239" t="str">
        <f t="shared" si="28"/>
        <v>T</v>
      </c>
      <c r="E239" t="str">
        <f t="shared" si="29"/>
        <v>PA34</v>
      </c>
      <c r="F239" t="s">
        <v>572</v>
      </c>
      <c r="G239" t="s">
        <v>191</v>
      </c>
      <c r="H239" s="2" t="str">
        <f t="shared" si="30"/>
        <v>P1</v>
      </c>
      <c r="I239" t="s">
        <v>20</v>
      </c>
      <c r="J239" t="s">
        <v>250</v>
      </c>
      <c r="K239" s="4">
        <v>0.65347222222222223</v>
      </c>
      <c r="L239" s="4">
        <v>0.68958333333333333</v>
      </c>
      <c r="M239" s="11">
        <f t="shared" si="26"/>
        <v>0</v>
      </c>
      <c r="N239" s="11">
        <f t="shared" si="27"/>
        <v>0</v>
      </c>
      <c r="O239" s="11">
        <f t="shared" si="31"/>
        <v>3.6111111111111094E-2</v>
      </c>
      <c r="P239" s="11">
        <f t="shared" si="32"/>
        <v>0</v>
      </c>
      <c r="Q239" s="11"/>
      <c r="R239" s="11"/>
      <c r="S239" s="11"/>
      <c r="T239" s="11"/>
      <c r="V239" s="11"/>
      <c r="X239" s="11">
        <f t="shared" si="25"/>
        <v>3.6111111111111094E-2</v>
      </c>
    </row>
    <row r="240" spans="1:25" outlineLevel="1" x14ac:dyDescent="0.15">
      <c r="A240" s="3">
        <v>37408</v>
      </c>
      <c r="B240" s="3" t="str">
        <f>VLOOKUP(F240, Aircraft!A$2:C$99, 2, FALSE)</f>
        <v>PA28</v>
      </c>
      <c r="C240" t="str">
        <f>VLOOKUP(F240, Aircraft!A$2:C$99, 3, FALSE)</f>
        <v>S</v>
      </c>
      <c r="D240" t="str">
        <f t="shared" si="28"/>
        <v>S</v>
      </c>
      <c r="E240" t="str">
        <f t="shared" si="29"/>
        <v>PA28</v>
      </c>
      <c r="F240" t="s">
        <v>187</v>
      </c>
      <c r="G240" t="s">
        <v>191</v>
      </c>
      <c r="H240" s="2" t="str">
        <f t="shared" si="30"/>
        <v>P1</v>
      </c>
      <c r="I240" t="s">
        <v>250</v>
      </c>
      <c r="J240" t="s">
        <v>250</v>
      </c>
      <c r="K240" s="4">
        <v>0.73611111111111116</v>
      </c>
      <c r="L240" s="4">
        <v>0.79861111111111116</v>
      </c>
      <c r="M240" s="11">
        <f t="shared" si="26"/>
        <v>6.25E-2</v>
      </c>
      <c r="N240" s="11">
        <f t="shared" si="27"/>
        <v>0</v>
      </c>
      <c r="O240" s="11">
        <f t="shared" si="31"/>
        <v>0</v>
      </c>
      <c r="P240" s="11">
        <f t="shared" si="32"/>
        <v>0</v>
      </c>
      <c r="Q240" s="11"/>
      <c r="R240" s="11"/>
      <c r="S240" s="11"/>
      <c r="T240" s="11"/>
      <c r="V240" s="11"/>
      <c r="X240" s="11">
        <f t="shared" si="25"/>
        <v>6.25E-2</v>
      </c>
    </row>
    <row r="241" spans="1:25" outlineLevel="1" x14ac:dyDescent="0.15">
      <c r="A241" s="3">
        <v>37410</v>
      </c>
      <c r="B241" s="3" t="str">
        <f>VLOOKUP(F241, Aircraft!A$2:C$99, 2, FALSE)</f>
        <v>PA34</v>
      </c>
      <c r="C241" t="str">
        <f>VLOOKUP(F241, Aircraft!A$2:C$99, 3, FALSE)</f>
        <v>T</v>
      </c>
      <c r="D241" t="str">
        <f t="shared" si="28"/>
        <v>T</v>
      </c>
      <c r="E241" t="str">
        <f t="shared" si="29"/>
        <v>PA34</v>
      </c>
      <c r="F241" t="s">
        <v>572</v>
      </c>
      <c r="G241" t="s">
        <v>191</v>
      </c>
      <c r="H241" s="2" t="str">
        <f t="shared" si="30"/>
        <v>P1</v>
      </c>
      <c r="I241" t="s">
        <v>250</v>
      </c>
      <c r="J241" t="s">
        <v>76</v>
      </c>
      <c r="K241" s="4">
        <v>0.46875</v>
      </c>
      <c r="L241" s="4">
        <v>0.50347222222222221</v>
      </c>
      <c r="M241" s="11">
        <f t="shared" si="26"/>
        <v>0</v>
      </c>
      <c r="N241" s="11">
        <f t="shared" si="27"/>
        <v>0</v>
      </c>
      <c r="O241" s="11">
        <f t="shared" si="31"/>
        <v>3.472222222222221E-2</v>
      </c>
      <c r="P241" s="11">
        <f t="shared" si="32"/>
        <v>0</v>
      </c>
      <c r="Q241" s="11"/>
      <c r="R241" s="11"/>
      <c r="S241" s="11"/>
      <c r="T241" s="11"/>
      <c r="V241" s="11"/>
      <c r="X241" s="11">
        <f t="shared" si="25"/>
        <v>3.472222222222221E-2</v>
      </c>
    </row>
    <row r="242" spans="1:25" outlineLevel="1" x14ac:dyDescent="0.15">
      <c r="A242" s="3">
        <v>37410</v>
      </c>
      <c r="B242" s="3" t="str">
        <f>VLOOKUP(F242, Aircraft!A$2:C$99, 2, FALSE)</f>
        <v>PA34</v>
      </c>
      <c r="C242" t="str">
        <f>VLOOKUP(F242, Aircraft!A$2:C$99, 3, FALSE)</f>
        <v>T</v>
      </c>
      <c r="D242" t="str">
        <f t="shared" si="28"/>
        <v>T</v>
      </c>
      <c r="E242" t="str">
        <f t="shared" si="29"/>
        <v>PA34</v>
      </c>
      <c r="F242" t="s">
        <v>572</v>
      </c>
      <c r="G242" t="s">
        <v>191</v>
      </c>
      <c r="H242" s="2" t="str">
        <f t="shared" si="30"/>
        <v>P1</v>
      </c>
      <c r="I242" t="s">
        <v>148</v>
      </c>
      <c r="J242" t="s">
        <v>250</v>
      </c>
      <c r="K242" s="4">
        <v>0.52430555555555558</v>
      </c>
      <c r="L242" s="4">
        <v>0.55208333333333337</v>
      </c>
      <c r="M242" s="11">
        <f t="shared" si="26"/>
        <v>0</v>
      </c>
      <c r="N242" s="11">
        <f t="shared" si="27"/>
        <v>0</v>
      </c>
      <c r="O242" s="11">
        <f t="shared" si="31"/>
        <v>2.777777777777779E-2</v>
      </c>
      <c r="P242" s="11">
        <f t="shared" si="32"/>
        <v>0</v>
      </c>
      <c r="Q242" s="11"/>
      <c r="R242" s="11"/>
      <c r="S242" s="11"/>
      <c r="T242" s="11"/>
      <c r="V242" s="11"/>
      <c r="X242" s="11">
        <f t="shared" si="25"/>
        <v>2.777777777777779E-2</v>
      </c>
    </row>
    <row r="243" spans="1:25" outlineLevel="1" x14ac:dyDescent="0.15">
      <c r="A243" s="3">
        <v>37415</v>
      </c>
      <c r="B243" s="3" t="str">
        <f>VLOOKUP(F243, Aircraft!A$2:C$99, 2, FALSE)</f>
        <v>PA28</v>
      </c>
      <c r="C243" t="str">
        <f>VLOOKUP(F243, Aircraft!A$2:C$99, 3, FALSE)</f>
        <v>S</v>
      </c>
      <c r="D243" t="str">
        <f t="shared" si="28"/>
        <v>S</v>
      </c>
      <c r="E243" t="str">
        <f t="shared" si="29"/>
        <v>PA28</v>
      </c>
      <c r="F243" t="s">
        <v>228</v>
      </c>
      <c r="G243" t="s">
        <v>191</v>
      </c>
      <c r="H243" s="2" t="str">
        <f t="shared" si="30"/>
        <v>P1</v>
      </c>
      <c r="I243" t="s">
        <v>250</v>
      </c>
      <c r="J243" t="s">
        <v>250</v>
      </c>
      <c r="K243" s="4">
        <v>0.78819444444444453</v>
      </c>
      <c r="L243" s="4">
        <v>0.8125</v>
      </c>
      <c r="M243" s="11">
        <f t="shared" si="26"/>
        <v>2.4305555555555469E-2</v>
      </c>
      <c r="N243" s="11">
        <f t="shared" si="27"/>
        <v>0</v>
      </c>
      <c r="O243" s="11">
        <f t="shared" si="31"/>
        <v>0</v>
      </c>
      <c r="P243" s="11">
        <f t="shared" si="32"/>
        <v>0</v>
      </c>
      <c r="Q243" s="11"/>
      <c r="R243" s="11"/>
      <c r="S243" s="11"/>
      <c r="T243" s="11"/>
      <c r="V243" s="11"/>
      <c r="X243" s="11">
        <f t="shared" si="25"/>
        <v>2.4305555555555469E-2</v>
      </c>
    </row>
    <row r="244" spans="1:25" outlineLevel="1" x14ac:dyDescent="0.15">
      <c r="A244" s="3">
        <v>37422</v>
      </c>
      <c r="B244" s="3" t="str">
        <f>VLOOKUP(F244, Aircraft!A$2:C$99, 2, FALSE)</f>
        <v>PA28</v>
      </c>
      <c r="C244" t="str">
        <f>VLOOKUP(F244, Aircraft!A$2:C$99, 3, FALSE)</f>
        <v>S</v>
      </c>
      <c r="D244" t="str">
        <f t="shared" si="28"/>
        <v>S</v>
      </c>
      <c r="E244" t="str">
        <f t="shared" si="29"/>
        <v>PA28</v>
      </c>
      <c r="F244" t="s">
        <v>228</v>
      </c>
      <c r="G244" t="s">
        <v>275</v>
      </c>
      <c r="H244" s="2" t="str">
        <f t="shared" si="30"/>
        <v>PUT</v>
      </c>
      <c r="I244" t="s">
        <v>250</v>
      </c>
      <c r="J244" t="s">
        <v>250</v>
      </c>
      <c r="K244" s="4">
        <v>0.61111111111111105</v>
      </c>
      <c r="L244" s="4">
        <v>0.6875</v>
      </c>
      <c r="M244" s="11">
        <f t="shared" si="26"/>
        <v>0</v>
      </c>
      <c r="N244" s="11">
        <f t="shared" si="27"/>
        <v>7.6388888888888951E-2</v>
      </c>
      <c r="O244" s="11">
        <f t="shared" si="31"/>
        <v>0</v>
      </c>
      <c r="P244" s="11">
        <f t="shared" si="32"/>
        <v>0</v>
      </c>
      <c r="Q244" s="11"/>
      <c r="R244" s="11"/>
      <c r="S244" s="11"/>
      <c r="T244" s="11"/>
      <c r="U244" s="27">
        <v>1.4</v>
      </c>
      <c r="V244" s="11"/>
      <c r="X244" s="11">
        <f t="shared" si="25"/>
        <v>7.6388888888888951E-2</v>
      </c>
      <c r="Y244" t="s">
        <v>440</v>
      </c>
    </row>
    <row r="245" spans="1:25" outlineLevel="1" x14ac:dyDescent="0.15">
      <c r="A245" s="3">
        <v>37429</v>
      </c>
      <c r="B245" s="3" t="str">
        <f>VLOOKUP(F245, Aircraft!A$2:C$99, 2, FALSE)</f>
        <v>PA28</v>
      </c>
      <c r="C245" t="str">
        <f>VLOOKUP(F245, Aircraft!A$2:C$99, 3, FALSE)</f>
        <v>S</v>
      </c>
      <c r="D245" t="str">
        <f t="shared" si="28"/>
        <v>S</v>
      </c>
      <c r="E245" t="str">
        <f t="shared" si="29"/>
        <v>PA28</v>
      </c>
      <c r="F245" t="s">
        <v>228</v>
      </c>
      <c r="G245" t="s">
        <v>191</v>
      </c>
      <c r="H245" s="2" t="str">
        <f t="shared" si="30"/>
        <v>P1</v>
      </c>
      <c r="I245" t="s">
        <v>250</v>
      </c>
      <c r="J245" t="s">
        <v>250</v>
      </c>
      <c r="K245" s="4">
        <v>0.55555555555555558</v>
      </c>
      <c r="L245" s="4">
        <v>0.60138888888888886</v>
      </c>
      <c r="M245" s="11">
        <f t="shared" si="26"/>
        <v>4.5833333333333282E-2</v>
      </c>
      <c r="N245" s="11">
        <f t="shared" si="27"/>
        <v>0</v>
      </c>
      <c r="O245" s="11">
        <f t="shared" si="31"/>
        <v>0</v>
      </c>
      <c r="P245" s="11">
        <f t="shared" si="32"/>
        <v>0</v>
      </c>
      <c r="Q245" s="11"/>
      <c r="R245" s="11"/>
      <c r="S245" s="11"/>
      <c r="T245" s="11"/>
      <c r="U245" s="27">
        <v>0.8</v>
      </c>
      <c r="V245" s="11"/>
      <c r="X245" s="11">
        <f t="shared" si="25"/>
        <v>4.5833333333333282E-2</v>
      </c>
      <c r="Y245" t="s">
        <v>441</v>
      </c>
    </row>
    <row r="246" spans="1:25" outlineLevel="1" x14ac:dyDescent="0.15">
      <c r="A246" s="3">
        <v>37436</v>
      </c>
      <c r="B246" s="3" t="str">
        <f>VLOOKUP(F246, Aircraft!A$2:C$99, 2, FALSE)</f>
        <v>PA28</v>
      </c>
      <c r="C246" t="str">
        <f>VLOOKUP(F246, Aircraft!A$2:C$99, 3, FALSE)</f>
        <v>S</v>
      </c>
      <c r="D246" t="str">
        <f t="shared" si="28"/>
        <v>S</v>
      </c>
      <c r="E246" t="str">
        <f t="shared" si="29"/>
        <v>PA28</v>
      </c>
      <c r="F246" t="s">
        <v>228</v>
      </c>
      <c r="G246" t="s">
        <v>191</v>
      </c>
      <c r="H246" s="2" t="str">
        <f t="shared" si="30"/>
        <v>P1</v>
      </c>
      <c r="I246" t="s">
        <v>250</v>
      </c>
      <c r="J246" t="s">
        <v>62</v>
      </c>
      <c r="K246" s="4">
        <v>0.64722222222222225</v>
      </c>
      <c r="L246" s="4">
        <v>0.70486111111111116</v>
      </c>
      <c r="M246" s="11">
        <f t="shared" si="26"/>
        <v>5.7638888888888906E-2</v>
      </c>
      <c r="N246" s="11">
        <f t="shared" si="27"/>
        <v>0</v>
      </c>
      <c r="O246" s="11">
        <f t="shared" si="31"/>
        <v>0</v>
      </c>
      <c r="P246" s="11">
        <f t="shared" si="32"/>
        <v>0</v>
      </c>
      <c r="Q246" s="11"/>
      <c r="R246" s="11"/>
      <c r="S246" s="11"/>
      <c r="T246" s="11"/>
      <c r="V246" s="11"/>
      <c r="X246" s="11">
        <f t="shared" si="25"/>
        <v>5.7638888888888906E-2</v>
      </c>
    </row>
    <row r="247" spans="1:25" outlineLevel="1" x14ac:dyDescent="0.15">
      <c r="A247" s="3">
        <v>37437</v>
      </c>
      <c r="B247" s="3" t="str">
        <f>VLOOKUP(F247, Aircraft!A$2:C$99, 2, FALSE)</f>
        <v>PA28</v>
      </c>
      <c r="C247" t="str">
        <f>VLOOKUP(F247, Aircraft!A$2:C$99, 3, FALSE)</f>
        <v>S</v>
      </c>
      <c r="D247" t="str">
        <f t="shared" si="28"/>
        <v>S</v>
      </c>
      <c r="E247" t="str">
        <f t="shared" si="29"/>
        <v>PA28</v>
      </c>
      <c r="F247" t="s">
        <v>228</v>
      </c>
      <c r="G247" t="s">
        <v>191</v>
      </c>
      <c r="H247" s="2" t="str">
        <f t="shared" si="30"/>
        <v>P1</v>
      </c>
      <c r="I247" t="s">
        <v>62</v>
      </c>
      <c r="J247" t="s">
        <v>250</v>
      </c>
      <c r="K247" s="4">
        <v>0.32847222222222222</v>
      </c>
      <c r="L247" s="4">
        <v>0.38472222222222219</v>
      </c>
      <c r="M247" s="11">
        <f t="shared" si="26"/>
        <v>5.6249999999999967E-2</v>
      </c>
      <c r="N247" s="11">
        <f t="shared" si="27"/>
        <v>0</v>
      </c>
      <c r="O247" s="11">
        <f t="shared" si="31"/>
        <v>0</v>
      </c>
      <c r="P247" s="11">
        <f t="shared" si="32"/>
        <v>0</v>
      </c>
      <c r="Q247" s="11"/>
      <c r="R247" s="11"/>
      <c r="S247" s="11"/>
      <c r="T247" s="11"/>
      <c r="U247" s="27">
        <v>0.1</v>
      </c>
      <c r="V247" s="11"/>
      <c r="X247" s="11">
        <f t="shared" si="25"/>
        <v>5.6249999999999967E-2</v>
      </c>
      <c r="Y247" t="s">
        <v>442</v>
      </c>
    </row>
    <row r="248" spans="1:25" outlineLevel="1" x14ac:dyDescent="0.15">
      <c r="A248" s="3">
        <v>37451</v>
      </c>
      <c r="B248" s="3" t="str">
        <f>VLOOKUP(F248, Aircraft!A$2:C$99, 2, FALSE)</f>
        <v>PA28</v>
      </c>
      <c r="C248" t="str">
        <f>VLOOKUP(F248, Aircraft!A$2:C$99, 3, FALSE)</f>
        <v>S</v>
      </c>
      <c r="D248" t="str">
        <f t="shared" si="28"/>
        <v>S</v>
      </c>
      <c r="E248" t="str">
        <f t="shared" si="29"/>
        <v>PA28</v>
      </c>
      <c r="F248" t="s">
        <v>228</v>
      </c>
      <c r="G248" t="s">
        <v>191</v>
      </c>
      <c r="H248" s="2" t="str">
        <f t="shared" si="30"/>
        <v>P1</v>
      </c>
      <c r="I248" t="s">
        <v>66</v>
      </c>
      <c r="J248" t="s">
        <v>250</v>
      </c>
      <c r="K248" s="4">
        <v>0.73263888888888884</v>
      </c>
      <c r="L248" s="4">
        <v>0.76736111111111116</v>
      </c>
      <c r="M248" s="11">
        <f t="shared" si="26"/>
        <v>3.4722222222222321E-2</v>
      </c>
      <c r="N248" s="11">
        <f t="shared" si="27"/>
        <v>0</v>
      </c>
      <c r="O248" s="11">
        <f t="shared" si="31"/>
        <v>0</v>
      </c>
      <c r="P248" s="11">
        <f t="shared" si="32"/>
        <v>0</v>
      </c>
      <c r="Q248" s="11"/>
      <c r="R248" s="11"/>
      <c r="S248" s="11"/>
      <c r="T248" s="11"/>
      <c r="V248" s="11"/>
      <c r="X248" s="11">
        <f t="shared" si="25"/>
        <v>3.4722222222222321E-2</v>
      </c>
      <c r="Y248" t="s">
        <v>99</v>
      </c>
    </row>
    <row r="249" spans="1:25" outlineLevel="1" x14ac:dyDescent="0.15">
      <c r="A249" s="3">
        <v>37458</v>
      </c>
      <c r="B249" s="3" t="str">
        <f>VLOOKUP(F249, Aircraft!A$2:C$99, 2, FALSE)</f>
        <v>PA28</v>
      </c>
      <c r="C249" t="str">
        <f>VLOOKUP(F249, Aircraft!A$2:C$99, 3, FALSE)</f>
        <v>S</v>
      </c>
      <c r="D249" t="str">
        <f t="shared" si="28"/>
        <v>S</v>
      </c>
      <c r="E249" t="str">
        <f t="shared" si="29"/>
        <v>PA28</v>
      </c>
      <c r="F249" t="s">
        <v>560</v>
      </c>
      <c r="G249" t="s">
        <v>191</v>
      </c>
      <c r="H249" s="2" t="str">
        <f t="shared" si="30"/>
        <v>P1</v>
      </c>
      <c r="I249" t="s">
        <v>250</v>
      </c>
      <c r="J249" t="s">
        <v>16</v>
      </c>
      <c r="K249" s="4">
        <v>0.69444444444444453</v>
      </c>
      <c r="L249" s="4">
        <v>0.73750000000000004</v>
      </c>
      <c r="M249" s="11">
        <f t="shared" si="26"/>
        <v>4.3055555555555514E-2</v>
      </c>
      <c r="N249" s="11">
        <f t="shared" si="27"/>
        <v>0</v>
      </c>
      <c r="O249" s="11">
        <f t="shared" si="31"/>
        <v>0</v>
      </c>
      <c r="P249" s="11">
        <f t="shared" si="32"/>
        <v>0</v>
      </c>
      <c r="Q249" s="11"/>
      <c r="R249" s="11"/>
      <c r="S249" s="11"/>
      <c r="T249" s="11"/>
      <c r="V249" s="11"/>
      <c r="X249" s="11">
        <f t="shared" si="25"/>
        <v>4.3055555555555514E-2</v>
      </c>
      <c r="Y249" t="s">
        <v>443</v>
      </c>
    </row>
    <row r="250" spans="1:25" outlineLevel="1" x14ac:dyDescent="0.15">
      <c r="A250" s="3">
        <v>37458</v>
      </c>
      <c r="B250" s="3" t="str">
        <f>VLOOKUP(F250, Aircraft!A$2:C$99, 2, FALSE)</f>
        <v>PA28</v>
      </c>
      <c r="C250" t="str">
        <f>VLOOKUP(F250, Aircraft!A$2:C$99, 3, FALSE)</f>
        <v>S</v>
      </c>
      <c r="D250" t="str">
        <f t="shared" si="28"/>
        <v>S</v>
      </c>
      <c r="E250" t="str">
        <f t="shared" si="29"/>
        <v>PA28</v>
      </c>
      <c r="F250" t="s">
        <v>560</v>
      </c>
      <c r="G250" t="s">
        <v>191</v>
      </c>
      <c r="H250" s="2" t="str">
        <f t="shared" si="30"/>
        <v>P1</v>
      </c>
      <c r="I250" t="s">
        <v>16</v>
      </c>
      <c r="J250" t="s">
        <v>250</v>
      </c>
      <c r="K250" s="4">
        <v>0.74652777777777779</v>
      </c>
      <c r="L250" s="4">
        <v>0.78472222222222221</v>
      </c>
      <c r="M250" s="11">
        <f t="shared" si="26"/>
        <v>3.819444444444442E-2</v>
      </c>
      <c r="N250" s="11">
        <f t="shared" si="27"/>
        <v>0</v>
      </c>
      <c r="O250" s="11">
        <f t="shared" si="31"/>
        <v>0</v>
      </c>
      <c r="P250" s="11">
        <f t="shared" si="32"/>
        <v>0</v>
      </c>
      <c r="Q250" s="11"/>
      <c r="R250" s="11"/>
      <c r="S250" s="11"/>
      <c r="T250" s="11"/>
      <c r="V250" s="11"/>
      <c r="X250" s="11">
        <f t="shared" si="25"/>
        <v>3.819444444444442E-2</v>
      </c>
    </row>
    <row r="251" spans="1:25" outlineLevel="1" x14ac:dyDescent="0.15">
      <c r="A251" s="3">
        <v>37471</v>
      </c>
      <c r="B251" s="3" t="str">
        <f>VLOOKUP(F251, Aircraft!A$2:C$99, 2, FALSE)</f>
        <v>PA28</v>
      </c>
      <c r="C251" t="str">
        <f>VLOOKUP(F251, Aircraft!A$2:C$99, 3, FALSE)</f>
        <v>S</v>
      </c>
      <c r="D251" t="str">
        <f t="shared" si="28"/>
        <v>S</v>
      </c>
      <c r="E251" t="str">
        <f t="shared" si="29"/>
        <v>PA28</v>
      </c>
      <c r="F251" t="s">
        <v>187</v>
      </c>
      <c r="G251" t="s">
        <v>191</v>
      </c>
      <c r="H251" s="2" t="str">
        <f t="shared" si="30"/>
        <v>P1</v>
      </c>
      <c r="I251" t="s">
        <v>250</v>
      </c>
      <c r="J251" t="s">
        <v>250</v>
      </c>
      <c r="K251" s="4">
        <v>0.69444444444444453</v>
      </c>
      <c r="L251" s="4">
        <v>0.72222222222222221</v>
      </c>
      <c r="M251" s="11">
        <f t="shared" si="26"/>
        <v>2.7777777777777679E-2</v>
      </c>
      <c r="N251" s="11">
        <f t="shared" si="27"/>
        <v>0</v>
      </c>
      <c r="O251" s="11">
        <f t="shared" si="31"/>
        <v>0</v>
      </c>
      <c r="P251" s="11">
        <f t="shared" si="32"/>
        <v>0</v>
      </c>
      <c r="Q251" s="11"/>
      <c r="R251" s="11"/>
      <c r="S251" s="11"/>
      <c r="T251" s="11"/>
      <c r="V251" s="11"/>
      <c r="X251" s="11">
        <f t="shared" si="25"/>
        <v>2.7777777777777679E-2</v>
      </c>
      <c r="Y251" t="s">
        <v>444</v>
      </c>
    </row>
    <row r="252" spans="1:25" outlineLevel="1" x14ac:dyDescent="0.15">
      <c r="A252" s="3">
        <v>37493</v>
      </c>
      <c r="B252" s="3" t="str">
        <f>VLOOKUP(F252, Aircraft!A$2:C$99, 2, FALSE)</f>
        <v>PA28</v>
      </c>
      <c r="C252" t="str">
        <f>VLOOKUP(F252, Aircraft!A$2:C$99, 3, FALSE)</f>
        <v>S</v>
      </c>
      <c r="D252" t="str">
        <f t="shared" si="28"/>
        <v>S</v>
      </c>
      <c r="E252" t="str">
        <f t="shared" si="29"/>
        <v>PA28</v>
      </c>
      <c r="F252" t="s">
        <v>228</v>
      </c>
      <c r="G252" t="s">
        <v>191</v>
      </c>
      <c r="H252" s="2" t="str">
        <f t="shared" si="30"/>
        <v>P1</v>
      </c>
      <c r="I252" t="s">
        <v>1</v>
      </c>
      <c r="J252" t="s">
        <v>250</v>
      </c>
      <c r="K252" s="4">
        <v>0.46180555555555558</v>
      </c>
      <c r="L252" s="4">
        <v>0.52777777777777779</v>
      </c>
      <c r="M252" s="11">
        <f t="shared" si="26"/>
        <v>6.597222222222221E-2</v>
      </c>
      <c r="N252" s="11">
        <f t="shared" si="27"/>
        <v>0</v>
      </c>
      <c r="O252" s="11">
        <f t="shared" si="31"/>
        <v>0</v>
      </c>
      <c r="P252" s="11">
        <f t="shared" si="32"/>
        <v>0</v>
      </c>
      <c r="Q252" s="11"/>
      <c r="R252" s="11"/>
      <c r="S252" s="11"/>
      <c r="T252" s="11"/>
      <c r="V252" s="11"/>
      <c r="X252" s="11">
        <f t="shared" si="25"/>
        <v>6.597222222222221E-2</v>
      </c>
    </row>
    <row r="253" spans="1:25" outlineLevel="1" x14ac:dyDescent="0.15">
      <c r="A253" s="3">
        <v>37494</v>
      </c>
      <c r="B253" s="3" t="str">
        <f>VLOOKUP(F253, Aircraft!A$2:C$99, 2, FALSE)</f>
        <v>PA28</v>
      </c>
      <c r="C253" t="str">
        <f>VLOOKUP(F253, Aircraft!A$2:C$99, 3, FALSE)</f>
        <v>S</v>
      </c>
      <c r="D253" t="str">
        <f t="shared" si="28"/>
        <v>S</v>
      </c>
      <c r="E253" t="str">
        <f t="shared" si="29"/>
        <v>PA28</v>
      </c>
      <c r="F253" t="s">
        <v>228</v>
      </c>
      <c r="G253" t="s">
        <v>191</v>
      </c>
      <c r="H253" s="2" t="str">
        <f t="shared" si="30"/>
        <v>P1</v>
      </c>
      <c r="I253" t="s">
        <v>250</v>
      </c>
      <c r="J253" t="s">
        <v>1</v>
      </c>
      <c r="K253" s="4">
        <v>0.44444444444444442</v>
      </c>
      <c r="L253" s="4">
        <v>0.5</v>
      </c>
      <c r="M253" s="11">
        <f t="shared" si="26"/>
        <v>5.555555555555558E-2</v>
      </c>
      <c r="N253" s="11">
        <f t="shared" si="27"/>
        <v>0</v>
      </c>
      <c r="O253" s="11">
        <f t="shared" si="31"/>
        <v>0</v>
      </c>
      <c r="P253" s="11">
        <f t="shared" si="32"/>
        <v>0</v>
      </c>
      <c r="Q253" s="11"/>
      <c r="R253" s="11"/>
      <c r="S253" s="11"/>
      <c r="T253" s="11"/>
      <c r="V253" s="11"/>
      <c r="X253" s="11">
        <f t="shared" si="25"/>
        <v>5.555555555555558E-2</v>
      </c>
    </row>
    <row r="254" spans="1:25" outlineLevel="1" x14ac:dyDescent="0.15">
      <c r="A254" s="3">
        <v>37494</v>
      </c>
      <c r="B254" s="3" t="str">
        <f>VLOOKUP(F254, Aircraft!A$2:C$99, 2, FALSE)</f>
        <v>PA28</v>
      </c>
      <c r="C254" t="str">
        <f>VLOOKUP(F254, Aircraft!A$2:C$99, 3, FALSE)</f>
        <v>S</v>
      </c>
      <c r="D254" t="str">
        <f t="shared" si="28"/>
        <v>S</v>
      </c>
      <c r="E254" t="str">
        <f t="shared" si="29"/>
        <v>PA28</v>
      </c>
      <c r="F254" t="s">
        <v>228</v>
      </c>
      <c r="G254" t="s">
        <v>191</v>
      </c>
      <c r="H254" s="2" t="str">
        <f t="shared" si="30"/>
        <v>P1</v>
      </c>
      <c r="I254" t="s">
        <v>1</v>
      </c>
      <c r="J254" t="s">
        <v>250</v>
      </c>
      <c r="K254" s="4">
        <v>0.51388888888888895</v>
      </c>
      <c r="L254" s="4">
        <v>0.57986111111111105</v>
      </c>
      <c r="M254" s="11">
        <f t="shared" si="26"/>
        <v>6.5972222222222099E-2</v>
      </c>
      <c r="N254" s="11">
        <f t="shared" si="27"/>
        <v>0</v>
      </c>
      <c r="O254" s="11">
        <f t="shared" si="31"/>
        <v>0</v>
      </c>
      <c r="P254" s="11">
        <f t="shared" si="32"/>
        <v>0</v>
      </c>
      <c r="Q254" s="11"/>
      <c r="R254" s="11"/>
      <c r="S254" s="11"/>
      <c r="T254" s="11"/>
      <c r="U254" s="27">
        <v>0.9</v>
      </c>
      <c r="V254" s="11"/>
      <c r="X254" s="11">
        <f t="shared" si="25"/>
        <v>6.5972222222222099E-2</v>
      </c>
      <c r="Y254" t="s">
        <v>446</v>
      </c>
    </row>
    <row r="255" spans="1:25" outlineLevel="1" x14ac:dyDescent="0.15">
      <c r="A255" s="3">
        <v>37497</v>
      </c>
      <c r="B255" s="3" t="str">
        <f>VLOOKUP(F255, Aircraft!A$2:C$99, 2, FALSE)</f>
        <v>PA28</v>
      </c>
      <c r="C255" t="str">
        <f>VLOOKUP(F255, Aircraft!A$2:C$99, 3, FALSE)</f>
        <v>S</v>
      </c>
      <c r="D255" t="str">
        <f t="shared" si="28"/>
        <v>S</v>
      </c>
      <c r="E255" t="str">
        <f t="shared" si="29"/>
        <v>PA28</v>
      </c>
      <c r="F255" t="s">
        <v>560</v>
      </c>
      <c r="G255" t="s">
        <v>191</v>
      </c>
      <c r="H255" s="2" t="str">
        <f t="shared" si="30"/>
        <v>P1</v>
      </c>
      <c r="I255" t="s">
        <v>250</v>
      </c>
      <c r="J255" t="s">
        <v>250</v>
      </c>
      <c r="K255" s="4">
        <v>0.51388888888888895</v>
      </c>
      <c r="L255" s="4">
        <v>0.55902777777777779</v>
      </c>
      <c r="M255" s="11">
        <f t="shared" si="26"/>
        <v>4.513888888888884E-2</v>
      </c>
      <c r="N255" s="11">
        <f t="shared" si="27"/>
        <v>0</v>
      </c>
      <c r="O255" s="11">
        <f t="shared" si="31"/>
        <v>0</v>
      </c>
      <c r="P255" s="11">
        <f t="shared" si="32"/>
        <v>0</v>
      </c>
      <c r="Q255" s="11"/>
      <c r="R255" s="11"/>
      <c r="S255" s="11"/>
      <c r="T255" s="11"/>
      <c r="V255" s="11"/>
      <c r="X255" s="11">
        <f t="shared" si="25"/>
        <v>4.513888888888884E-2</v>
      </c>
      <c r="Y255" t="s">
        <v>316</v>
      </c>
    </row>
    <row r="256" spans="1:25" outlineLevel="1" x14ac:dyDescent="0.15">
      <c r="A256" s="3">
        <v>37507</v>
      </c>
      <c r="B256" s="3" t="str">
        <f>VLOOKUP(F256, Aircraft!A$2:C$99, 2, FALSE)</f>
        <v>PA28</v>
      </c>
      <c r="C256" t="str">
        <f>VLOOKUP(F256, Aircraft!A$2:C$99, 3, FALSE)</f>
        <v>S</v>
      </c>
      <c r="D256" t="str">
        <f t="shared" si="28"/>
        <v>S</v>
      </c>
      <c r="E256" t="str">
        <f t="shared" si="29"/>
        <v>PA28</v>
      </c>
      <c r="F256" t="s">
        <v>560</v>
      </c>
      <c r="G256" t="s">
        <v>191</v>
      </c>
      <c r="H256" s="2" t="str">
        <f t="shared" si="30"/>
        <v>P1</v>
      </c>
      <c r="I256" t="s">
        <v>12</v>
      </c>
      <c r="J256" t="s">
        <v>250</v>
      </c>
      <c r="K256" s="4">
        <v>0.43055555555555558</v>
      </c>
      <c r="L256" s="4">
        <v>0.47916666666666669</v>
      </c>
      <c r="M256" s="11">
        <f t="shared" si="26"/>
        <v>4.8611111111111105E-2</v>
      </c>
      <c r="N256" s="11">
        <f t="shared" si="27"/>
        <v>0</v>
      </c>
      <c r="O256" s="11">
        <f t="shared" si="31"/>
        <v>0</v>
      </c>
      <c r="P256" s="11">
        <f t="shared" si="32"/>
        <v>0</v>
      </c>
      <c r="Q256" s="11"/>
      <c r="R256" s="11"/>
      <c r="S256" s="11"/>
      <c r="T256" s="11"/>
      <c r="V256" s="11"/>
      <c r="X256" s="11">
        <f t="shared" si="25"/>
        <v>4.8611111111111105E-2</v>
      </c>
    </row>
    <row r="257" spans="1:25" outlineLevel="1" x14ac:dyDescent="0.15">
      <c r="A257" s="3">
        <v>37507</v>
      </c>
      <c r="B257" s="3" t="str">
        <f>VLOOKUP(F257, Aircraft!A$2:C$99, 2, FALSE)</f>
        <v>PA34</v>
      </c>
      <c r="C257" t="str">
        <f>VLOOKUP(F257, Aircraft!A$2:C$99, 3, FALSE)</f>
        <v>T</v>
      </c>
      <c r="D257" t="str">
        <f t="shared" si="28"/>
        <v>T</v>
      </c>
      <c r="E257" t="str">
        <f t="shared" si="29"/>
        <v>PA34</v>
      </c>
      <c r="F257" t="s">
        <v>572</v>
      </c>
      <c r="G257" t="s">
        <v>275</v>
      </c>
      <c r="H257" s="2" t="str">
        <f t="shared" si="30"/>
        <v>PUT</v>
      </c>
      <c r="I257" t="s">
        <v>250</v>
      </c>
      <c r="J257" t="s">
        <v>250</v>
      </c>
      <c r="K257" s="4">
        <v>0.60416666666666663</v>
      </c>
      <c r="L257" s="4">
        <v>0.64583333333333337</v>
      </c>
      <c r="M257" s="11">
        <f t="shared" si="26"/>
        <v>0</v>
      </c>
      <c r="N257" s="11">
        <f t="shared" si="27"/>
        <v>0</v>
      </c>
      <c r="O257" s="11">
        <f t="shared" si="31"/>
        <v>0</v>
      </c>
      <c r="P257" s="11">
        <f t="shared" si="32"/>
        <v>4.1666666666666741E-2</v>
      </c>
      <c r="Q257" s="11"/>
      <c r="R257" s="11"/>
      <c r="S257" s="11"/>
      <c r="T257" s="11"/>
      <c r="V257" s="11"/>
      <c r="X257" s="11">
        <f t="shared" si="25"/>
        <v>4.1666666666666741E-2</v>
      </c>
      <c r="Y257" t="s">
        <v>317</v>
      </c>
    </row>
    <row r="258" spans="1:25" outlineLevel="1" x14ac:dyDescent="0.15">
      <c r="A258" s="3">
        <v>37513</v>
      </c>
      <c r="B258" s="3" t="str">
        <f>VLOOKUP(F258, Aircraft!A$2:C$99, 2, FALSE)</f>
        <v>PA34</v>
      </c>
      <c r="C258" t="str">
        <f>VLOOKUP(F258, Aircraft!A$2:C$99, 3, FALSE)</f>
        <v>T</v>
      </c>
      <c r="D258" t="str">
        <f t="shared" si="28"/>
        <v>T</v>
      </c>
      <c r="E258" t="str">
        <f t="shared" si="29"/>
        <v>PA34</v>
      </c>
      <c r="F258" t="s">
        <v>572</v>
      </c>
      <c r="G258" t="s">
        <v>191</v>
      </c>
      <c r="H258" s="2" t="str">
        <f t="shared" si="30"/>
        <v>P1</v>
      </c>
      <c r="I258" t="s">
        <v>250</v>
      </c>
      <c r="J258" t="s">
        <v>250</v>
      </c>
      <c r="K258" s="4">
        <v>0.46319444444444446</v>
      </c>
      <c r="L258" s="4">
        <v>0.48125000000000001</v>
      </c>
      <c r="M258" s="11">
        <f t="shared" si="26"/>
        <v>0</v>
      </c>
      <c r="N258" s="11">
        <f t="shared" si="27"/>
        <v>0</v>
      </c>
      <c r="O258" s="11">
        <f t="shared" si="31"/>
        <v>1.8055555555555547E-2</v>
      </c>
      <c r="P258" s="11">
        <f t="shared" si="32"/>
        <v>0</v>
      </c>
      <c r="Q258" s="11"/>
      <c r="R258" s="11"/>
      <c r="S258" s="11"/>
      <c r="T258" s="11"/>
      <c r="V258" s="11"/>
      <c r="X258" s="11">
        <f t="shared" si="25"/>
        <v>1.8055555555555547E-2</v>
      </c>
      <c r="Y258" t="s">
        <v>318</v>
      </c>
    </row>
    <row r="259" spans="1:25" outlineLevel="1" x14ac:dyDescent="0.15">
      <c r="A259" s="3">
        <v>37513</v>
      </c>
      <c r="B259" s="3" t="str">
        <f>VLOOKUP(F259, Aircraft!A$2:C$99, 2, FALSE)</f>
        <v>PA34</v>
      </c>
      <c r="C259" t="str">
        <f>VLOOKUP(F259, Aircraft!A$2:C$99, 3, FALSE)</f>
        <v>T</v>
      </c>
      <c r="D259" t="str">
        <f t="shared" si="28"/>
        <v>T</v>
      </c>
      <c r="E259" t="str">
        <f t="shared" si="29"/>
        <v>PA34</v>
      </c>
      <c r="F259" t="s">
        <v>572</v>
      </c>
      <c r="G259" t="s">
        <v>191</v>
      </c>
      <c r="H259" s="2" t="str">
        <f t="shared" si="30"/>
        <v>P1</v>
      </c>
      <c r="I259" t="s">
        <v>250</v>
      </c>
      <c r="J259" t="s">
        <v>355</v>
      </c>
      <c r="K259" s="4">
        <v>0.59166666666666667</v>
      </c>
      <c r="L259" s="4">
        <v>0.625</v>
      </c>
      <c r="M259" s="11">
        <f t="shared" si="26"/>
        <v>0</v>
      </c>
      <c r="N259" s="11">
        <f t="shared" si="27"/>
        <v>0</v>
      </c>
      <c r="O259" s="11">
        <f t="shared" si="31"/>
        <v>3.3333333333333326E-2</v>
      </c>
      <c r="P259" s="11">
        <f t="shared" si="32"/>
        <v>0</v>
      </c>
      <c r="Q259" s="11"/>
      <c r="R259" s="11"/>
      <c r="S259" s="11"/>
      <c r="T259" s="11"/>
      <c r="V259" s="11"/>
      <c r="X259" s="11">
        <f t="shared" si="25"/>
        <v>3.3333333333333326E-2</v>
      </c>
    </row>
    <row r="260" spans="1:25" outlineLevel="1" x14ac:dyDescent="0.15">
      <c r="A260" s="3">
        <v>37513</v>
      </c>
      <c r="B260" s="3" t="str">
        <f>VLOOKUP(F260, Aircraft!A$2:C$99, 2, FALSE)</f>
        <v>PA34</v>
      </c>
      <c r="C260" t="str">
        <f>VLOOKUP(F260, Aircraft!A$2:C$99, 3, FALSE)</f>
        <v>T</v>
      </c>
      <c r="D260" t="str">
        <f t="shared" si="28"/>
        <v>T</v>
      </c>
      <c r="E260" t="str">
        <f t="shared" si="29"/>
        <v>PA34</v>
      </c>
      <c r="F260" t="s">
        <v>572</v>
      </c>
      <c r="G260" t="s">
        <v>191</v>
      </c>
      <c r="H260" s="2" t="str">
        <f t="shared" si="30"/>
        <v>P1</v>
      </c>
      <c r="I260" t="s">
        <v>355</v>
      </c>
      <c r="J260" t="s">
        <v>250</v>
      </c>
      <c r="K260" s="4">
        <v>0.7597222222222223</v>
      </c>
      <c r="L260" s="4">
        <v>0.79305555555555562</v>
      </c>
      <c r="M260" s="11">
        <f t="shared" si="26"/>
        <v>0</v>
      </c>
      <c r="N260" s="11">
        <f t="shared" si="27"/>
        <v>0</v>
      </c>
      <c r="O260" s="11">
        <f t="shared" si="31"/>
        <v>3.3333333333333326E-2</v>
      </c>
      <c r="P260" s="11">
        <f t="shared" si="32"/>
        <v>0</v>
      </c>
      <c r="Q260" s="11"/>
      <c r="R260" s="11"/>
      <c r="S260" s="11"/>
      <c r="T260" s="11"/>
      <c r="V260" s="11"/>
      <c r="X260" s="11">
        <f t="shared" si="25"/>
        <v>3.3333333333333326E-2</v>
      </c>
    </row>
    <row r="261" spans="1:25" outlineLevel="1" x14ac:dyDescent="0.15">
      <c r="A261" s="3">
        <v>37520</v>
      </c>
      <c r="B261" s="3" t="str">
        <f>VLOOKUP(F261, Aircraft!A$2:C$99, 2, FALSE)</f>
        <v>PA28</v>
      </c>
      <c r="C261" t="str">
        <f>VLOOKUP(F261, Aircraft!A$2:C$99, 3, FALSE)</f>
        <v>S</v>
      </c>
      <c r="D261" t="str">
        <f t="shared" si="28"/>
        <v>S</v>
      </c>
      <c r="E261" t="str">
        <f t="shared" si="29"/>
        <v>PA28</v>
      </c>
      <c r="F261" t="s">
        <v>319</v>
      </c>
      <c r="G261" t="s">
        <v>191</v>
      </c>
      <c r="H261" s="2" t="str">
        <f t="shared" si="30"/>
        <v>P1</v>
      </c>
      <c r="I261" t="s">
        <v>250</v>
      </c>
      <c r="J261" t="s">
        <v>355</v>
      </c>
      <c r="K261" s="4">
        <v>0.56944444444444442</v>
      </c>
      <c r="L261" s="4">
        <v>0.61458333333333337</v>
      </c>
      <c r="M261" s="11">
        <f t="shared" si="26"/>
        <v>4.5138888888888951E-2</v>
      </c>
      <c r="N261" s="11">
        <f t="shared" si="27"/>
        <v>0</v>
      </c>
      <c r="O261" s="11">
        <f t="shared" si="31"/>
        <v>0</v>
      </c>
      <c r="P261" s="11">
        <f t="shared" si="32"/>
        <v>0</v>
      </c>
      <c r="Q261" s="11"/>
      <c r="R261" s="11"/>
      <c r="S261" s="11"/>
      <c r="T261" s="11"/>
      <c r="V261" s="11"/>
      <c r="X261" s="11">
        <f t="shared" si="25"/>
        <v>4.5138888888888951E-2</v>
      </c>
      <c r="Y261" t="s">
        <v>320</v>
      </c>
    </row>
    <row r="262" spans="1:25" outlineLevel="1" x14ac:dyDescent="0.15">
      <c r="A262" s="3">
        <v>37527</v>
      </c>
      <c r="B262" s="3" t="str">
        <f>VLOOKUP(F262, Aircraft!A$2:C$99, 2, FALSE)</f>
        <v>PA28</v>
      </c>
      <c r="C262" t="str">
        <f>VLOOKUP(F262, Aircraft!A$2:C$99, 3, FALSE)</f>
        <v>S</v>
      </c>
      <c r="D262" t="str">
        <f t="shared" si="28"/>
        <v>S</v>
      </c>
      <c r="E262" t="str">
        <f t="shared" si="29"/>
        <v>PA28</v>
      </c>
      <c r="F262" t="s">
        <v>228</v>
      </c>
      <c r="G262" t="s">
        <v>191</v>
      </c>
      <c r="H262" s="2" t="str">
        <f t="shared" si="30"/>
        <v>P1</v>
      </c>
      <c r="I262" t="s">
        <v>250</v>
      </c>
      <c r="J262" t="s">
        <v>250</v>
      </c>
      <c r="K262" s="4">
        <v>0.39583333333333331</v>
      </c>
      <c r="L262" s="4">
        <v>0.4236111111111111</v>
      </c>
      <c r="M262" s="11">
        <f t="shared" si="26"/>
        <v>2.777777777777779E-2</v>
      </c>
      <c r="N262" s="11">
        <f t="shared" si="27"/>
        <v>0</v>
      </c>
      <c r="O262" s="11">
        <f t="shared" si="31"/>
        <v>0</v>
      </c>
      <c r="P262" s="11">
        <f t="shared" si="32"/>
        <v>0</v>
      </c>
      <c r="Q262" s="11"/>
      <c r="R262" s="11"/>
      <c r="S262" s="11"/>
      <c r="T262" s="11"/>
      <c r="U262" s="27">
        <v>0.4</v>
      </c>
      <c r="V262" s="11"/>
      <c r="X262" s="11">
        <f t="shared" si="25"/>
        <v>2.777777777777779E-2</v>
      </c>
      <c r="Y262" t="s">
        <v>321</v>
      </c>
    </row>
    <row r="263" spans="1:25" outlineLevel="1" x14ac:dyDescent="0.15">
      <c r="A263" s="3">
        <v>37528</v>
      </c>
      <c r="B263" s="3" t="str">
        <f>VLOOKUP(F263, Aircraft!A$2:C$99, 2, FALSE)</f>
        <v>PA28</v>
      </c>
      <c r="C263" t="str">
        <f>VLOOKUP(F263, Aircraft!A$2:C$99, 3, FALSE)</f>
        <v>S</v>
      </c>
      <c r="D263" t="str">
        <f t="shared" si="28"/>
        <v>S</v>
      </c>
      <c r="E263" t="str">
        <f t="shared" si="29"/>
        <v>PA28</v>
      </c>
      <c r="F263" t="s">
        <v>322</v>
      </c>
      <c r="G263" t="s">
        <v>191</v>
      </c>
      <c r="H263" s="2" t="str">
        <f t="shared" si="30"/>
        <v>P1</v>
      </c>
      <c r="I263" t="s">
        <v>158</v>
      </c>
      <c r="J263" t="s">
        <v>250</v>
      </c>
      <c r="K263" s="4">
        <v>0.58680555555555558</v>
      </c>
      <c r="L263" s="4">
        <v>0.68055555555555547</v>
      </c>
      <c r="M263" s="11">
        <f t="shared" si="26"/>
        <v>9.3749999999999889E-2</v>
      </c>
      <c r="N263" s="11">
        <f t="shared" si="27"/>
        <v>0</v>
      </c>
      <c r="O263" s="11">
        <f t="shared" si="31"/>
        <v>0</v>
      </c>
      <c r="P263" s="11">
        <f t="shared" si="32"/>
        <v>0</v>
      </c>
      <c r="Q263" s="11"/>
      <c r="R263" s="11"/>
      <c r="S263" s="11"/>
      <c r="T263" s="11"/>
      <c r="V263" s="11"/>
      <c r="X263" s="11">
        <f t="shared" si="25"/>
        <v>9.3749999999999889E-2</v>
      </c>
    </row>
    <row r="264" spans="1:25" outlineLevel="1" x14ac:dyDescent="0.15">
      <c r="A264" s="3">
        <v>37534</v>
      </c>
      <c r="B264" s="3" t="str">
        <f>VLOOKUP(F264, Aircraft!A$2:C$99, 2, FALSE)</f>
        <v>PA28</v>
      </c>
      <c r="C264" t="str">
        <f>VLOOKUP(F264, Aircraft!A$2:C$99, 3, FALSE)</f>
        <v>S</v>
      </c>
      <c r="D264" t="str">
        <f t="shared" si="28"/>
        <v>S</v>
      </c>
      <c r="E264" t="str">
        <f t="shared" si="29"/>
        <v>PA28</v>
      </c>
      <c r="F264" t="s">
        <v>323</v>
      </c>
      <c r="G264" t="s">
        <v>324</v>
      </c>
      <c r="H264" s="2" t="str">
        <f t="shared" si="30"/>
        <v>PUT</v>
      </c>
      <c r="I264" t="s">
        <v>356</v>
      </c>
      <c r="J264" t="s">
        <v>356</v>
      </c>
      <c r="K264" s="4">
        <v>0.47222222222222227</v>
      </c>
      <c r="L264" s="4">
        <v>0.52777777777777779</v>
      </c>
      <c r="M264" s="11">
        <f t="shared" si="26"/>
        <v>0</v>
      </c>
      <c r="N264" s="11">
        <f t="shared" si="27"/>
        <v>5.5555555555555525E-2</v>
      </c>
      <c r="O264" s="11">
        <f t="shared" si="31"/>
        <v>0</v>
      </c>
      <c r="P264" s="11">
        <f t="shared" si="32"/>
        <v>0</v>
      </c>
      <c r="Q264" s="11"/>
      <c r="R264" s="11"/>
      <c r="S264" s="11"/>
      <c r="T264" s="11"/>
      <c r="V264" s="11"/>
      <c r="X264" s="11">
        <f t="shared" si="25"/>
        <v>5.5555555555555525E-2</v>
      </c>
      <c r="Y264" t="s">
        <v>325</v>
      </c>
    </row>
    <row r="265" spans="1:25" outlineLevel="1" x14ac:dyDescent="0.15">
      <c r="A265" s="3">
        <v>37535</v>
      </c>
      <c r="B265" s="3" t="str">
        <f>VLOOKUP(F265, Aircraft!A$2:C$99, 2, FALSE)</f>
        <v>PA28</v>
      </c>
      <c r="C265" t="str">
        <f>VLOOKUP(F265, Aircraft!A$2:C$99, 3, FALSE)</f>
        <v>S</v>
      </c>
      <c r="D265" t="str">
        <f t="shared" si="28"/>
        <v>S</v>
      </c>
      <c r="E265" t="str">
        <f t="shared" ref="E265:E330" si="33">IF(ISNA(B265), "", B265)</f>
        <v>PA28</v>
      </c>
      <c r="F265" t="s">
        <v>323</v>
      </c>
      <c r="G265" t="s">
        <v>324</v>
      </c>
      <c r="H265" s="2" t="str">
        <f t="shared" si="30"/>
        <v>PUT</v>
      </c>
      <c r="I265" t="s">
        <v>356</v>
      </c>
      <c r="J265" t="s">
        <v>356</v>
      </c>
      <c r="K265" s="4">
        <v>0.41666666666666669</v>
      </c>
      <c r="L265" s="4">
        <v>0.4861111111111111</v>
      </c>
      <c r="M265" s="11">
        <f t="shared" si="26"/>
        <v>0</v>
      </c>
      <c r="N265" s="11">
        <f t="shared" si="27"/>
        <v>6.944444444444442E-2</v>
      </c>
      <c r="O265" s="11">
        <f t="shared" si="31"/>
        <v>0</v>
      </c>
      <c r="P265" s="11">
        <f t="shared" si="32"/>
        <v>0</v>
      </c>
      <c r="Q265" s="11"/>
      <c r="R265" s="11"/>
      <c r="S265" s="11"/>
      <c r="T265" s="11"/>
      <c r="V265" s="11"/>
      <c r="X265" s="11">
        <f t="shared" si="25"/>
        <v>6.944444444444442E-2</v>
      </c>
      <c r="Y265" t="s">
        <v>327</v>
      </c>
    </row>
    <row r="266" spans="1:25" outlineLevel="1" x14ac:dyDescent="0.15">
      <c r="A266" s="3">
        <v>37541</v>
      </c>
      <c r="B266" s="3" t="str">
        <f>VLOOKUP(F266, Aircraft!A$2:C$99, 2, FALSE)</f>
        <v>PA28</v>
      </c>
      <c r="C266" t="str">
        <f>VLOOKUP(F266, Aircraft!A$2:C$99, 3, FALSE)</f>
        <v>S</v>
      </c>
      <c r="D266" t="str">
        <f t="shared" si="28"/>
        <v>S</v>
      </c>
      <c r="E266" t="str">
        <f t="shared" si="33"/>
        <v>PA28</v>
      </c>
      <c r="F266" t="s">
        <v>323</v>
      </c>
      <c r="G266" t="s">
        <v>326</v>
      </c>
      <c r="H266" s="2" t="str">
        <f t="shared" si="30"/>
        <v>PUT</v>
      </c>
      <c r="I266" t="s">
        <v>356</v>
      </c>
      <c r="J266" t="s">
        <v>356</v>
      </c>
      <c r="K266" s="4">
        <v>0.58333333333333337</v>
      </c>
      <c r="L266" s="4">
        <v>0.65277777777777779</v>
      </c>
      <c r="M266" s="11">
        <f t="shared" si="26"/>
        <v>0</v>
      </c>
      <c r="N266" s="11">
        <f t="shared" si="27"/>
        <v>6.944444444444442E-2</v>
      </c>
      <c r="O266" s="11">
        <f t="shared" si="31"/>
        <v>0</v>
      </c>
      <c r="P266" s="11">
        <f t="shared" si="32"/>
        <v>0</v>
      </c>
      <c r="Q266" s="11"/>
      <c r="R266" s="11"/>
      <c r="S266" s="11"/>
      <c r="T266" s="11"/>
      <c r="V266" s="11"/>
      <c r="X266" s="11">
        <f t="shared" si="25"/>
        <v>6.944444444444442E-2</v>
      </c>
      <c r="Y266" t="s">
        <v>328</v>
      </c>
    </row>
    <row r="267" spans="1:25" outlineLevel="1" x14ac:dyDescent="0.15">
      <c r="A267" s="3">
        <v>37548</v>
      </c>
      <c r="B267" s="3" t="str">
        <f>VLOOKUP(F267, Aircraft!A$2:C$99, 2, FALSE)</f>
        <v>PA28</v>
      </c>
      <c r="C267" t="str">
        <f>VLOOKUP(F267, Aircraft!A$2:C$99, 3, FALSE)</f>
        <v>S</v>
      </c>
      <c r="D267" t="str">
        <f t="shared" si="28"/>
        <v>S</v>
      </c>
      <c r="E267" t="str">
        <f t="shared" si="33"/>
        <v>PA28</v>
      </c>
      <c r="F267" t="s">
        <v>323</v>
      </c>
      <c r="G267" t="s">
        <v>324</v>
      </c>
      <c r="H267" s="2" t="str">
        <f t="shared" si="30"/>
        <v>PUT</v>
      </c>
      <c r="I267" t="s">
        <v>356</v>
      </c>
      <c r="J267" t="s">
        <v>356</v>
      </c>
      <c r="K267" s="4">
        <v>0.58333333333333337</v>
      </c>
      <c r="L267" s="4">
        <v>0.66319444444444442</v>
      </c>
      <c r="M267" s="11">
        <f t="shared" si="26"/>
        <v>0</v>
      </c>
      <c r="N267" s="11">
        <f t="shared" si="27"/>
        <v>7.9861111111111049E-2</v>
      </c>
      <c r="O267" s="11">
        <f t="shared" si="31"/>
        <v>0</v>
      </c>
      <c r="P267" s="11">
        <f t="shared" si="32"/>
        <v>0</v>
      </c>
      <c r="Q267" s="11"/>
      <c r="R267" s="11"/>
      <c r="S267" s="11"/>
      <c r="T267" s="11"/>
      <c r="V267" s="11"/>
      <c r="X267" s="11">
        <f t="shared" si="25"/>
        <v>7.9861111111111049E-2</v>
      </c>
      <c r="Y267" t="s">
        <v>329</v>
      </c>
    </row>
    <row r="268" spans="1:25" outlineLevel="1" x14ac:dyDescent="0.15">
      <c r="A268" s="3">
        <v>37555</v>
      </c>
      <c r="B268" s="3" t="str">
        <f>VLOOKUP(F268, Aircraft!A$2:C$99, 2, FALSE)</f>
        <v>PA28</v>
      </c>
      <c r="C268" t="str">
        <f>VLOOKUP(F268, Aircraft!A$2:C$99, 3, FALSE)</f>
        <v>S</v>
      </c>
      <c r="D268" t="str">
        <f t="shared" si="28"/>
        <v>S</v>
      </c>
      <c r="E268" t="str">
        <f t="shared" si="33"/>
        <v>PA28</v>
      </c>
      <c r="F268" t="s">
        <v>560</v>
      </c>
      <c r="G268" t="s">
        <v>191</v>
      </c>
      <c r="H268" s="2" t="str">
        <f t="shared" si="30"/>
        <v>P1</v>
      </c>
      <c r="I268" t="s">
        <v>250</v>
      </c>
      <c r="J268" t="s">
        <v>250</v>
      </c>
      <c r="K268" s="4">
        <v>0.53125</v>
      </c>
      <c r="L268" s="15">
        <v>0.5805555555555556</v>
      </c>
      <c r="M268" s="11">
        <f t="shared" si="26"/>
        <v>4.9305555555555602E-2</v>
      </c>
      <c r="N268" s="11">
        <f t="shared" si="27"/>
        <v>0</v>
      </c>
      <c r="O268" s="11">
        <f t="shared" si="31"/>
        <v>0</v>
      </c>
      <c r="P268" s="11">
        <f t="shared" si="32"/>
        <v>0</v>
      </c>
      <c r="Q268" s="11"/>
      <c r="R268" s="11"/>
      <c r="S268" s="11"/>
      <c r="T268" s="11"/>
      <c r="V268" s="11"/>
      <c r="X268" s="11">
        <f t="shared" ref="X268:X332" si="34">SUM(M268:S268)</f>
        <v>4.9305555555555602E-2</v>
      </c>
      <c r="Y268" t="s">
        <v>330</v>
      </c>
    </row>
    <row r="269" spans="1:25" outlineLevel="1" x14ac:dyDescent="0.15">
      <c r="A269" s="3">
        <v>37563</v>
      </c>
      <c r="B269" s="3" t="str">
        <f>VLOOKUP(F269, Aircraft!A$2:C$99, 2, FALSE)</f>
        <v>PA28</v>
      </c>
      <c r="C269" t="str">
        <f>VLOOKUP(F269, Aircraft!A$2:C$99, 3, FALSE)</f>
        <v>S</v>
      </c>
      <c r="D269" t="str">
        <f t="shared" si="28"/>
        <v>S</v>
      </c>
      <c r="E269" t="str">
        <f t="shared" si="33"/>
        <v>PA28</v>
      </c>
      <c r="F269" t="s">
        <v>228</v>
      </c>
      <c r="G269" t="s">
        <v>191</v>
      </c>
      <c r="H269" s="2" t="str">
        <f t="shared" si="30"/>
        <v>P1</v>
      </c>
      <c r="I269" t="s">
        <v>250</v>
      </c>
      <c r="J269" t="s">
        <v>250</v>
      </c>
      <c r="K269" s="4">
        <v>0.60763888888888895</v>
      </c>
      <c r="L269" s="4">
        <v>0.63194444444444442</v>
      </c>
      <c r="M269" s="11">
        <f t="shared" si="26"/>
        <v>2.4305555555555469E-2</v>
      </c>
      <c r="N269" s="11">
        <f t="shared" si="27"/>
        <v>0</v>
      </c>
      <c r="O269" s="11">
        <f t="shared" si="31"/>
        <v>0</v>
      </c>
      <c r="P269" s="11">
        <f t="shared" si="32"/>
        <v>0</v>
      </c>
      <c r="Q269" s="11"/>
      <c r="R269" s="11"/>
      <c r="S269" s="11"/>
      <c r="T269" s="11"/>
      <c r="V269" s="11"/>
      <c r="X269" s="11">
        <f t="shared" si="34"/>
        <v>2.4305555555555469E-2</v>
      </c>
    </row>
    <row r="270" spans="1:25" outlineLevel="1" x14ac:dyDescent="0.15">
      <c r="A270" s="3">
        <v>37569</v>
      </c>
      <c r="B270" s="3" t="str">
        <f>VLOOKUP(F270, Aircraft!A$2:C$99, 2, FALSE)</f>
        <v>FR-142</v>
      </c>
      <c r="C270" t="str">
        <f>VLOOKUP(F270, Aircraft!A$2:C$99, 3, FALSE)</f>
        <v>SIM</v>
      </c>
      <c r="D270" t="str">
        <f t="shared" si="28"/>
        <v>SIM</v>
      </c>
      <c r="E270" t="str">
        <f t="shared" si="33"/>
        <v>FR-142</v>
      </c>
      <c r="F270" t="s">
        <v>331</v>
      </c>
      <c r="G270" t="s">
        <v>326</v>
      </c>
      <c r="H270" s="2" t="str">
        <f t="shared" si="30"/>
        <v>PUT</v>
      </c>
      <c r="I270" t="s">
        <v>164</v>
      </c>
      <c r="J270" t="s">
        <v>67</v>
      </c>
      <c r="M270" s="11">
        <f t="shared" si="26"/>
        <v>0</v>
      </c>
      <c r="N270" s="11">
        <f t="shared" si="27"/>
        <v>0</v>
      </c>
      <c r="O270" s="11">
        <f t="shared" si="31"/>
        <v>0</v>
      </c>
      <c r="P270" s="11">
        <f t="shared" si="32"/>
        <v>0</v>
      </c>
      <c r="Q270" s="11"/>
      <c r="R270" s="11"/>
      <c r="S270" s="11"/>
      <c r="T270" s="11"/>
      <c r="V270" s="11"/>
      <c r="W270" s="2">
        <v>1.1000000000000001</v>
      </c>
      <c r="X270" s="11">
        <f t="shared" si="34"/>
        <v>0</v>
      </c>
      <c r="Y270" t="s">
        <v>656</v>
      </c>
    </row>
    <row r="271" spans="1:25" outlineLevel="1" x14ac:dyDescent="0.15">
      <c r="A271" s="3">
        <v>37569</v>
      </c>
      <c r="B271" s="3" t="str">
        <f>VLOOKUP(F271, Aircraft!A$2:C$99, 2, FALSE)</f>
        <v>FR-142</v>
      </c>
      <c r="C271" t="str">
        <f>VLOOKUP(F271, Aircraft!A$2:C$99, 3, FALSE)</f>
        <v>SIM</v>
      </c>
      <c r="D271" t="str">
        <f t="shared" si="28"/>
        <v>SIM</v>
      </c>
      <c r="E271" t="str">
        <f t="shared" si="33"/>
        <v>FR-142</v>
      </c>
      <c r="F271" t="s">
        <v>331</v>
      </c>
      <c r="G271" t="s">
        <v>326</v>
      </c>
      <c r="H271" s="2" t="str">
        <f t="shared" si="30"/>
        <v>PUT</v>
      </c>
      <c r="I271" t="s">
        <v>164</v>
      </c>
      <c r="J271" t="s">
        <v>67</v>
      </c>
      <c r="M271" s="11">
        <f t="shared" si="26"/>
        <v>0</v>
      </c>
      <c r="N271" s="11">
        <f t="shared" si="27"/>
        <v>0</v>
      </c>
      <c r="O271" s="11">
        <f t="shared" si="31"/>
        <v>0</v>
      </c>
      <c r="P271" s="11">
        <f t="shared" si="32"/>
        <v>0</v>
      </c>
      <c r="Q271" s="11"/>
      <c r="R271" s="11"/>
      <c r="S271" s="11"/>
      <c r="T271" s="11"/>
      <c r="V271" s="11"/>
      <c r="W271" s="2">
        <v>1.2</v>
      </c>
      <c r="X271" s="11">
        <f t="shared" si="34"/>
        <v>0</v>
      </c>
      <c r="Y271" t="s">
        <v>658</v>
      </c>
    </row>
    <row r="272" spans="1:25" outlineLevel="1" x14ac:dyDescent="0.15">
      <c r="A272" s="3">
        <v>37570</v>
      </c>
      <c r="B272" s="3" t="str">
        <f>VLOOKUP(F272, Aircraft!A$2:C$99, 2, FALSE)</f>
        <v>FR-142</v>
      </c>
      <c r="C272" t="str">
        <f>VLOOKUP(F272, Aircraft!A$2:C$99, 3, FALSE)</f>
        <v>SIM</v>
      </c>
      <c r="D272" t="str">
        <f t="shared" ref="D272:D337" si="35">IF(ISNA(C272), "", C272)</f>
        <v>SIM</v>
      </c>
      <c r="E272" t="str">
        <f t="shared" si="33"/>
        <v>FR-142</v>
      </c>
      <c r="F272" t="s">
        <v>331</v>
      </c>
      <c r="G272" t="s">
        <v>326</v>
      </c>
      <c r="H272" s="2" t="str">
        <f t="shared" si="30"/>
        <v>PUT</v>
      </c>
      <c r="I272" t="s">
        <v>164</v>
      </c>
      <c r="J272" t="s">
        <v>67</v>
      </c>
      <c r="M272" s="11">
        <f t="shared" ref="M272:M337" si="36">IF(AND(H272="P1", D272="S"), L272-K272, 0)</f>
        <v>0</v>
      </c>
      <c r="N272" s="11">
        <f t="shared" ref="N272:N337" si="37">IF(AND(H272="PUT", D272="S"), L272-K272, 0)</f>
        <v>0</v>
      </c>
      <c r="O272" s="11">
        <f t="shared" ref="O272:O282" si="38">IF(AND(H272="P1", D272="T"), L272-K272, 0)</f>
        <v>0</v>
      </c>
      <c r="P272" s="11">
        <f t="shared" ref="P272:P282" si="39">IF(AND(H272="PUT", D272="T"), L272-K272, 0)</f>
        <v>0</v>
      </c>
      <c r="Q272" s="11"/>
      <c r="R272" s="11"/>
      <c r="S272" s="11"/>
      <c r="T272" s="11"/>
      <c r="V272" s="11"/>
      <c r="W272" s="2">
        <v>1.4</v>
      </c>
      <c r="X272" s="11">
        <f t="shared" si="34"/>
        <v>0</v>
      </c>
      <c r="Y272" t="s">
        <v>659</v>
      </c>
    </row>
    <row r="273" spans="1:25" outlineLevel="1" x14ac:dyDescent="0.15">
      <c r="A273" s="3">
        <v>37576</v>
      </c>
      <c r="B273" s="3" t="str">
        <f>VLOOKUP(F273, Aircraft!A$2:C$99, 2, FALSE)</f>
        <v>FR-142</v>
      </c>
      <c r="C273" t="str">
        <f>VLOOKUP(F273, Aircraft!A$2:C$99, 3, FALSE)</f>
        <v>SIM</v>
      </c>
      <c r="D273" t="str">
        <f t="shared" si="35"/>
        <v>SIM</v>
      </c>
      <c r="E273" t="str">
        <f t="shared" si="33"/>
        <v>FR-142</v>
      </c>
      <c r="F273" t="s">
        <v>331</v>
      </c>
      <c r="G273" t="s">
        <v>326</v>
      </c>
      <c r="H273" s="2" t="str">
        <f t="shared" si="30"/>
        <v>PUT</v>
      </c>
      <c r="I273" t="s">
        <v>164</v>
      </c>
      <c r="J273" t="s">
        <v>67</v>
      </c>
      <c r="M273" s="11">
        <f t="shared" si="36"/>
        <v>0</v>
      </c>
      <c r="N273" s="11">
        <f t="shared" si="37"/>
        <v>0</v>
      </c>
      <c r="O273" s="11">
        <f t="shared" si="38"/>
        <v>0</v>
      </c>
      <c r="P273" s="11">
        <f t="shared" si="39"/>
        <v>0</v>
      </c>
      <c r="Q273" s="11"/>
      <c r="R273" s="11"/>
      <c r="S273" s="11"/>
      <c r="T273" s="11"/>
      <c r="V273" s="11"/>
      <c r="W273" s="2">
        <v>1</v>
      </c>
      <c r="X273" s="11">
        <f t="shared" si="34"/>
        <v>0</v>
      </c>
      <c r="Y273" t="s">
        <v>660</v>
      </c>
    </row>
    <row r="274" spans="1:25" outlineLevel="1" x14ac:dyDescent="0.15">
      <c r="A274" s="3">
        <v>37576</v>
      </c>
      <c r="B274" s="3" t="str">
        <f>VLOOKUP(F274, Aircraft!A$2:C$99, 2, FALSE)</f>
        <v>FR-142</v>
      </c>
      <c r="C274" t="str">
        <f>VLOOKUP(F274, Aircraft!A$2:C$99, 3, FALSE)</f>
        <v>SIM</v>
      </c>
      <c r="D274" t="str">
        <f t="shared" si="35"/>
        <v>SIM</v>
      </c>
      <c r="E274" t="str">
        <f t="shared" si="33"/>
        <v>FR-142</v>
      </c>
      <c r="F274" t="s">
        <v>331</v>
      </c>
      <c r="G274" t="s">
        <v>326</v>
      </c>
      <c r="H274" s="2" t="str">
        <f t="shared" ref="H274:H339" si="40">IF(UPPER(G274)&lt;&gt;"SELF",IF(G274&lt;&gt;"", "PUT", ""),"P1")</f>
        <v>PUT</v>
      </c>
      <c r="I274" t="s">
        <v>164</v>
      </c>
      <c r="J274" t="s">
        <v>67</v>
      </c>
      <c r="M274" s="11">
        <f t="shared" si="36"/>
        <v>0</v>
      </c>
      <c r="N274" s="11">
        <f t="shared" si="37"/>
        <v>0</v>
      </c>
      <c r="O274" s="11">
        <f t="shared" si="38"/>
        <v>0</v>
      </c>
      <c r="P274" s="11">
        <f t="shared" si="39"/>
        <v>0</v>
      </c>
      <c r="Q274" s="11"/>
      <c r="R274" s="11"/>
      <c r="S274" s="11"/>
      <c r="T274" s="11"/>
      <c r="V274" s="11"/>
      <c r="W274" s="2">
        <v>1.6</v>
      </c>
      <c r="X274" s="11">
        <f t="shared" si="34"/>
        <v>0</v>
      </c>
      <c r="Y274" t="s">
        <v>661</v>
      </c>
    </row>
    <row r="275" spans="1:25" outlineLevel="1" x14ac:dyDescent="0.15">
      <c r="A275" s="3">
        <v>37577</v>
      </c>
      <c r="B275" s="3" t="str">
        <f>VLOOKUP(F275, Aircraft!A$2:C$99, 2, FALSE)</f>
        <v>FR-142</v>
      </c>
      <c r="C275" t="str">
        <f>VLOOKUP(F275, Aircraft!A$2:C$99, 3, FALSE)</f>
        <v>SIM</v>
      </c>
      <c r="D275" t="str">
        <f t="shared" si="35"/>
        <v>SIM</v>
      </c>
      <c r="E275" t="str">
        <f t="shared" si="33"/>
        <v>FR-142</v>
      </c>
      <c r="F275" t="s">
        <v>331</v>
      </c>
      <c r="G275" t="s">
        <v>326</v>
      </c>
      <c r="H275" s="2" t="str">
        <f t="shared" si="40"/>
        <v>PUT</v>
      </c>
      <c r="I275" t="s">
        <v>164</v>
      </c>
      <c r="J275" t="s">
        <v>67</v>
      </c>
      <c r="M275" s="11">
        <f t="shared" si="36"/>
        <v>0</v>
      </c>
      <c r="N275" s="11">
        <f t="shared" si="37"/>
        <v>0</v>
      </c>
      <c r="O275" s="11">
        <f t="shared" si="38"/>
        <v>0</v>
      </c>
      <c r="P275" s="11">
        <f t="shared" si="39"/>
        <v>0</v>
      </c>
      <c r="Q275" s="11"/>
      <c r="R275" s="11"/>
      <c r="S275" s="11"/>
      <c r="T275" s="11"/>
      <c r="V275" s="11"/>
      <c r="W275" s="2">
        <v>1.3</v>
      </c>
      <c r="X275" s="11">
        <f t="shared" si="34"/>
        <v>0</v>
      </c>
      <c r="Y275" t="s">
        <v>662</v>
      </c>
    </row>
    <row r="276" spans="1:25" outlineLevel="1" x14ac:dyDescent="0.15">
      <c r="A276" s="3">
        <v>37583</v>
      </c>
      <c r="B276" s="3" t="str">
        <f>VLOOKUP(F276, Aircraft!A$2:C$99, 2, FALSE)</f>
        <v>FR-142</v>
      </c>
      <c r="C276" t="str">
        <f>VLOOKUP(F276, Aircraft!A$2:C$99, 3, FALSE)</f>
        <v>SIM</v>
      </c>
      <c r="D276" t="str">
        <f t="shared" si="35"/>
        <v>SIM</v>
      </c>
      <c r="E276" t="str">
        <f t="shared" si="33"/>
        <v>FR-142</v>
      </c>
      <c r="F276" t="s">
        <v>331</v>
      </c>
      <c r="G276" t="s">
        <v>326</v>
      </c>
      <c r="H276" s="2" t="str">
        <f t="shared" si="40"/>
        <v>PUT</v>
      </c>
      <c r="I276" t="s">
        <v>164</v>
      </c>
      <c r="J276" t="s">
        <v>67</v>
      </c>
      <c r="M276" s="11">
        <f t="shared" si="36"/>
        <v>0</v>
      </c>
      <c r="N276" s="11">
        <f t="shared" si="37"/>
        <v>0</v>
      </c>
      <c r="O276" s="11">
        <f t="shared" si="38"/>
        <v>0</v>
      </c>
      <c r="P276" s="11">
        <f t="shared" si="39"/>
        <v>0</v>
      </c>
      <c r="Q276" s="11"/>
      <c r="R276" s="11"/>
      <c r="S276" s="11"/>
      <c r="T276" s="11"/>
      <c r="V276" s="11"/>
      <c r="W276" s="2">
        <v>1</v>
      </c>
      <c r="X276" s="11">
        <f t="shared" si="34"/>
        <v>0</v>
      </c>
      <c r="Y276" t="s">
        <v>305</v>
      </c>
    </row>
    <row r="277" spans="1:25" outlineLevel="1" x14ac:dyDescent="0.15">
      <c r="A277" s="3">
        <v>37583</v>
      </c>
      <c r="B277" s="3" t="str">
        <f>VLOOKUP(F277, Aircraft!A$2:C$99, 2, FALSE)</f>
        <v>FR-142</v>
      </c>
      <c r="C277" t="str">
        <f>VLOOKUP(F277, Aircraft!A$2:C$99, 3, FALSE)</f>
        <v>SIM</v>
      </c>
      <c r="D277" t="str">
        <f t="shared" si="35"/>
        <v>SIM</v>
      </c>
      <c r="E277" t="str">
        <f t="shared" si="33"/>
        <v>FR-142</v>
      </c>
      <c r="F277" t="s">
        <v>331</v>
      </c>
      <c r="G277" t="s">
        <v>326</v>
      </c>
      <c r="H277" s="2" t="str">
        <f t="shared" si="40"/>
        <v>PUT</v>
      </c>
      <c r="I277" t="s">
        <v>164</v>
      </c>
      <c r="J277" t="s">
        <v>67</v>
      </c>
      <c r="M277" s="11">
        <f t="shared" si="36"/>
        <v>0</v>
      </c>
      <c r="N277" s="11">
        <f t="shared" si="37"/>
        <v>0</v>
      </c>
      <c r="O277" s="11">
        <f t="shared" si="38"/>
        <v>0</v>
      </c>
      <c r="P277" s="11">
        <f t="shared" si="39"/>
        <v>0</v>
      </c>
      <c r="Q277" s="11"/>
      <c r="R277" s="11"/>
      <c r="S277" s="11"/>
      <c r="T277" s="11"/>
      <c r="V277" s="11"/>
      <c r="W277" s="2">
        <v>1</v>
      </c>
      <c r="X277" s="11">
        <f t="shared" si="34"/>
        <v>0</v>
      </c>
      <c r="Y277" t="s">
        <v>306</v>
      </c>
    </row>
    <row r="278" spans="1:25" outlineLevel="1" x14ac:dyDescent="0.15">
      <c r="A278" s="3">
        <v>37584</v>
      </c>
      <c r="B278" s="3" t="str">
        <f>VLOOKUP(F278, Aircraft!A$2:C$99, 2, FALSE)</f>
        <v>PA28</v>
      </c>
      <c r="C278" t="str">
        <f>VLOOKUP(F278, Aircraft!A$2:C$99, 3, FALSE)</f>
        <v>S</v>
      </c>
      <c r="D278" t="str">
        <f t="shared" si="35"/>
        <v>S</v>
      </c>
      <c r="E278" t="str">
        <f t="shared" si="33"/>
        <v>PA28</v>
      </c>
      <c r="F278" t="s">
        <v>187</v>
      </c>
      <c r="G278" t="s">
        <v>191</v>
      </c>
      <c r="H278" s="2" t="str">
        <f t="shared" si="40"/>
        <v>P1</v>
      </c>
      <c r="I278" t="s">
        <v>250</v>
      </c>
      <c r="J278" t="s">
        <v>250</v>
      </c>
      <c r="K278" s="4">
        <v>0.5</v>
      </c>
      <c r="L278" s="4">
        <v>0.54166666666666663</v>
      </c>
      <c r="M278" s="11">
        <f t="shared" si="36"/>
        <v>4.166666666666663E-2</v>
      </c>
      <c r="N278" s="11">
        <f t="shared" si="37"/>
        <v>0</v>
      </c>
      <c r="O278" s="11">
        <f t="shared" si="38"/>
        <v>0</v>
      </c>
      <c r="P278" s="11">
        <f t="shared" si="39"/>
        <v>0</v>
      </c>
      <c r="Q278" s="11"/>
      <c r="R278" s="11"/>
      <c r="S278" s="11"/>
      <c r="T278" s="11"/>
      <c r="V278" s="11"/>
      <c r="X278" s="11">
        <f t="shared" si="34"/>
        <v>4.166666666666663E-2</v>
      </c>
      <c r="Y278" t="s">
        <v>330</v>
      </c>
    </row>
    <row r="279" spans="1:25" outlineLevel="1" x14ac:dyDescent="0.15">
      <c r="A279" s="3">
        <v>37590</v>
      </c>
      <c r="B279" s="3" t="str">
        <f>VLOOKUP(F279, Aircraft!A$2:C$99, 2, FALSE)</f>
        <v>FR-142</v>
      </c>
      <c r="C279" t="str">
        <f>VLOOKUP(F279, Aircraft!A$2:C$99, 3, FALSE)</f>
        <v>SIM</v>
      </c>
      <c r="D279" t="str">
        <f t="shared" si="35"/>
        <v>SIM</v>
      </c>
      <c r="E279" t="str">
        <f t="shared" si="33"/>
        <v>FR-142</v>
      </c>
      <c r="F279" t="s">
        <v>331</v>
      </c>
      <c r="G279" t="s">
        <v>657</v>
      </c>
      <c r="H279" s="2" t="str">
        <f t="shared" si="40"/>
        <v>PUT</v>
      </c>
      <c r="I279" t="s">
        <v>356</v>
      </c>
      <c r="J279" t="s">
        <v>75</v>
      </c>
      <c r="M279" s="11">
        <f t="shared" si="36"/>
        <v>0</v>
      </c>
      <c r="N279" s="11">
        <f t="shared" si="37"/>
        <v>0</v>
      </c>
      <c r="O279" s="11">
        <f t="shared" si="38"/>
        <v>0</v>
      </c>
      <c r="P279" s="11">
        <f t="shared" si="39"/>
        <v>0</v>
      </c>
      <c r="Q279" s="11"/>
      <c r="R279" s="11"/>
      <c r="S279" s="11"/>
      <c r="T279" s="11"/>
      <c r="V279" s="11"/>
      <c r="W279" s="2">
        <v>1.3</v>
      </c>
      <c r="X279" s="11">
        <f t="shared" si="34"/>
        <v>0</v>
      </c>
      <c r="Y279" t="s">
        <v>663</v>
      </c>
    </row>
    <row r="280" spans="1:25" outlineLevel="1" x14ac:dyDescent="0.15">
      <c r="A280" s="3">
        <v>37590</v>
      </c>
      <c r="B280" s="3" t="str">
        <f>VLOOKUP(F280, Aircraft!A$2:C$99, 2, FALSE)</f>
        <v>FR-142</v>
      </c>
      <c r="C280" t="str">
        <f>VLOOKUP(F280, Aircraft!A$2:C$99, 3, FALSE)</f>
        <v>SIM</v>
      </c>
      <c r="D280" t="str">
        <f t="shared" si="35"/>
        <v>SIM</v>
      </c>
      <c r="E280" t="str">
        <f t="shared" si="33"/>
        <v>FR-142</v>
      </c>
      <c r="F280" t="s">
        <v>331</v>
      </c>
      <c r="G280" t="s">
        <v>657</v>
      </c>
      <c r="H280" s="2" t="str">
        <f t="shared" si="40"/>
        <v>PUT</v>
      </c>
      <c r="I280" t="s">
        <v>163</v>
      </c>
      <c r="J280" t="s">
        <v>164</v>
      </c>
      <c r="M280" s="11">
        <f t="shared" si="36"/>
        <v>0</v>
      </c>
      <c r="N280" s="11">
        <f t="shared" si="37"/>
        <v>0</v>
      </c>
      <c r="O280" s="11">
        <f t="shared" si="38"/>
        <v>0</v>
      </c>
      <c r="P280" s="11">
        <f t="shared" si="39"/>
        <v>0</v>
      </c>
      <c r="Q280" s="11"/>
      <c r="R280" s="11"/>
      <c r="S280" s="11"/>
      <c r="T280" s="11"/>
      <c r="V280" s="11"/>
      <c r="W280" s="2">
        <v>1.8</v>
      </c>
      <c r="X280" s="11">
        <f t="shared" si="34"/>
        <v>0</v>
      </c>
      <c r="Y280" t="s">
        <v>56</v>
      </c>
    </row>
    <row r="281" spans="1:25" outlineLevel="1" x14ac:dyDescent="0.15">
      <c r="A281" s="3">
        <v>37591</v>
      </c>
      <c r="B281" s="3" t="str">
        <f>VLOOKUP(F281, Aircraft!A$2:C$99, 2, FALSE)</f>
        <v>FR-142</v>
      </c>
      <c r="C281" t="str">
        <f>VLOOKUP(F281, Aircraft!A$2:C$99, 3, FALSE)</f>
        <v>SIM</v>
      </c>
      <c r="D281" t="str">
        <f t="shared" si="35"/>
        <v>SIM</v>
      </c>
      <c r="E281" t="str">
        <f t="shared" si="33"/>
        <v>FR-142</v>
      </c>
      <c r="F281" t="s">
        <v>331</v>
      </c>
      <c r="G281" t="s">
        <v>657</v>
      </c>
      <c r="H281" s="2" t="str">
        <f t="shared" si="40"/>
        <v>PUT</v>
      </c>
      <c r="I281" t="s">
        <v>164</v>
      </c>
      <c r="J281" t="s">
        <v>67</v>
      </c>
      <c r="M281" s="11">
        <f t="shared" si="36"/>
        <v>0</v>
      </c>
      <c r="N281" s="11">
        <f t="shared" si="37"/>
        <v>0</v>
      </c>
      <c r="O281" s="11">
        <f t="shared" si="38"/>
        <v>0</v>
      </c>
      <c r="P281" s="11">
        <f t="shared" si="39"/>
        <v>0</v>
      </c>
      <c r="Q281" s="11"/>
      <c r="R281" s="11"/>
      <c r="S281" s="11"/>
      <c r="T281" s="11"/>
      <c r="V281" s="11"/>
      <c r="W281" s="2">
        <v>1.7</v>
      </c>
      <c r="X281" s="11">
        <f t="shared" si="34"/>
        <v>0</v>
      </c>
    </row>
    <row r="282" spans="1:25" outlineLevel="1" x14ac:dyDescent="0.15">
      <c r="A282" s="3">
        <v>37597</v>
      </c>
      <c r="B282" s="3" t="str">
        <f>VLOOKUP(F282, Aircraft!A$2:C$99, 2, FALSE)</f>
        <v>FR-142</v>
      </c>
      <c r="C282" t="str">
        <f>VLOOKUP(F282, Aircraft!A$2:C$99, 3, FALSE)</f>
        <v>SIM</v>
      </c>
      <c r="D282" t="str">
        <f t="shared" si="35"/>
        <v>SIM</v>
      </c>
      <c r="E282" t="str">
        <f t="shared" si="33"/>
        <v>FR-142</v>
      </c>
      <c r="F282" t="s">
        <v>331</v>
      </c>
      <c r="G282" t="s">
        <v>657</v>
      </c>
      <c r="H282" s="2" t="str">
        <f t="shared" si="40"/>
        <v>PUT</v>
      </c>
      <c r="I282" t="s">
        <v>164</v>
      </c>
      <c r="J282" t="s">
        <v>67</v>
      </c>
      <c r="M282" s="11">
        <f t="shared" si="36"/>
        <v>0</v>
      </c>
      <c r="N282" s="11">
        <f t="shared" si="37"/>
        <v>0</v>
      </c>
      <c r="O282" s="11">
        <f t="shared" si="38"/>
        <v>0</v>
      </c>
      <c r="P282" s="11">
        <f t="shared" si="39"/>
        <v>0</v>
      </c>
      <c r="Q282" s="11"/>
      <c r="R282" s="11"/>
      <c r="S282" s="11"/>
      <c r="T282" s="11"/>
      <c r="V282" s="11"/>
      <c r="W282" s="2">
        <v>2</v>
      </c>
      <c r="X282" s="11">
        <f t="shared" si="34"/>
        <v>0</v>
      </c>
    </row>
    <row r="283" spans="1:25" outlineLevel="1" x14ac:dyDescent="0.15">
      <c r="A283" s="3">
        <v>37597</v>
      </c>
      <c r="B283" s="3" t="str">
        <f>VLOOKUP(F283, Aircraft!A$2:C$99, 2, FALSE)</f>
        <v>FR-142</v>
      </c>
      <c r="C283" t="str">
        <f>VLOOKUP(F283, Aircraft!A$2:C$99, 3, FALSE)</f>
        <v>SIM</v>
      </c>
      <c r="D283" t="str">
        <f t="shared" si="35"/>
        <v>SIM</v>
      </c>
      <c r="E283" t="str">
        <f t="shared" si="33"/>
        <v>FR-142</v>
      </c>
      <c r="F283" t="s">
        <v>331</v>
      </c>
      <c r="G283" t="s">
        <v>657</v>
      </c>
      <c r="H283" s="2" t="str">
        <f t="shared" si="40"/>
        <v>PUT</v>
      </c>
      <c r="I283" t="s">
        <v>164</v>
      </c>
      <c r="J283" t="s">
        <v>67</v>
      </c>
      <c r="M283" s="11">
        <f t="shared" si="36"/>
        <v>0</v>
      </c>
      <c r="N283" s="11">
        <f t="shared" si="37"/>
        <v>0</v>
      </c>
      <c r="O283" s="11">
        <f t="shared" si="31"/>
        <v>0</v>
      </c>
      <c r="P283" s="11">
        <f t="shared" si="32"/>
        <v>0</v>
      </c>
      <c r="Q283" s="11"/>
      <c r="R283" s="11"/>
      <c r="S283" s="11"/>
      <c r="T283" s="11"/>
      <c r="V283" s="11"/>
      <c r="W283" s="2">
        <v>2</v>
      </c>
      <c r="X283" s="11">
        <f t="shared" si="34"/>
        <v>0</v>
      </c>
    </row>
    <row r="284" spans="1:25" outlineLevel="1" x14ac:dyDescent="0.15">
      <c r="A284" s="3">
        <v>37598</v>
      </c>
      <c r="B284" s="3" t="str">
        <f>VLOOKUP(F284, Aircraft!A$2:C$99, 2, FALSE)</f>
        <v>FR-142</v>
      </c>
      <c r="C284" t="str">
        <f>VLOOKUP(F284, Aircraft!A$2:C$99, 3, FALSE)</f>
        <v>SIM</v>
      </c>
      <c r="D284" t="str">
        <f t="shared" si="35"/>
        <v>SIM</v>
      </c>
      <c r="E284" t="str">
        <f t="shared" si="33"/>
        <v>FR-142</v>
      </c>
      <c r="F284" t="s">
        <v>331</v>
      </c>
      <c r="G284" t="s">
        <v>657</v>
      </c>
      <c r="H284" s="2" t="str">
        <f t="shared" si="40"/>
        <v>PUT</v>
      </c>
      <c r="I284" t="s">
        <v>164</v>
      </c>
      <c r="J284" t="s">
        <v>67</v>
      </c>
      <c r="M284" s="11">
        <f t="shared" si="36"/>
        <v>0</v>
      </c>
      <c r="N284" s="11">
        <f t="shared" si="37"/>
        <v>0</v>
      </c>
      <c r="O284" s="11">
        <f t="shared" ref="O284:O316" si="41">IF(AND(H284="P1", D284="T"), L284-K284, 0)</f>
        <v>0</v>
      </c>
      <c r="P284" s="11">
        <f t="shared" ref="P284:P316" si="42">IF(AND(H284="PUT", D284="T"), L284-K284, 0)</f>
        <v>0</v>
      </c>
      <c r="Q284" s="11"/>
      <c r="R284" s="11"/>
      <c r="S284" s="11"/>
      <c r="T284" s="11"/>
      <c r="V284" s="11"/>
      <c r="W284" s="2">
        <v>1.4</v>
      </c>
      <c r="X284" s="11">
        <f t="shared" si="34"/>
        <v>0</v>
      </c>
    </row>
    <row r="285" spans="1:25" x14ac:dyDescent="0.15">
      <c r="O285" s="11"/>
      <c r="P285" s="11"/>
      <c r="Q285" s="11"/>
      <c r="R285" s="11"/>
      <c r="S285" s="11"/>
      <c r="T285" s="11"/>
      <c r="V285" s="11"/>
      <c r="X285" s="11"/>
    </row>
    <row r="286" spans="1:25" outlineLevel="1" x14ac:dyDescent="0.15">
      <c r="A286" s="3">
        <v>37626</v>
      </c>
      <c r="B286" s="3" t="str">
        <f>VLOOKUP(F286, Aircraft!A$2:C$99, 2, FALSE)</f>
        <v>PA34</v>
      </c>
      <c r="C286" t="str">
        <f>VLOOKUP(F286, Aircraft!A$2:C$99, 3, FALSE)</f>
        <v>T</v>
      </c>
      <c r="D286" t="str">
        <f t="shared" si="35"/>
        <v>T</v>
      </c>
      <c r="E286" t="str">
        <f t="shared" si="33"/>
        <v>PA34</v>
      </c>
      <c r="F286" t="s">
        <v>307</v>
      </c>
      <c r="G286" t="s">
        <v>657</v>
      </c>
      <c r="H286" s="2" t="str">
        <f t="shared" si="40"/>
        <v>PUT</v>
      </c>
      <c r="I286" t="s">
        <v>356</v>
      </c>
      <c r="J286" t="s">
        <v>356</v>
      </c>
      <c r="K286" s="4">
        <v>0.45347222222222222</v>
      </c>
      <c r="L286" s="4">
        <v>0.51458333333333328</v>
      </c>
      <c r="M286" s="11">
        <f t="shared" si="36"/>
        <v>0</v>
      </c>
      <c r="N286" s="11">
        <f t="shared" si="37"/>
        <v>0</v>
      </c>
      <c r="O286" s="11">
        <f t="shared" si="41"/>
        <v>0</v>
      </c>
      <c r="P286" s="11">
        <f t="shared" si="42"/>
        <v>6.1111111111111061E-2</v>
      </c>
      <c r="Q286" s="11"/>
      <c r="R286" s="11"/>
      <c r="S286" s="11"/>
      <c r="T286" s="11"/>
      <c r="U286" s="27">
        <v>1.5</v>
      </c>
      <c r="V286" s="11"/>
      <c r="X286" s="11">
        <f t="shared" si="34"/>
        <v>6.1111111111111061E-2</v>
      </c>
      <c r="Y286" t="s">
        <v>308</v>
      </c>
    </row>
    <row r="287" spans="1:25" outlineLevel="1" x14ac:dyDescent="0.15">
      <c r="A287" s="3">
        <v>37632</v>
      </c>
      <c r="B287" s="3" t="str">
        <f>VLOOKUP(F287, Aircraft!A$2:C$99, 2, FALSE)</f>
        <v>PA34</v>
      </c>
      <c r="C287" t="str">
        <f>VLOOKUP(F287, Aircraft!A$2:C$99, 3, FALSE)</f>
        <v>T</v>
      </c>
      <c r="D287" t="str">
        <f t="shared" si="35"/>
        <v>T</v>
      </c>
      <c r="E287" t="str">
        <f t="shared" si="33"/>
        <v>PA34</v>
      </c>
      <c r="F287" t="s">
        <v>307</v>
      </c>
      <c r="G287" t="s">
        <v>657</v>
      </c>
      <c r="H287" s="2" t="str">
        <f t="shared" si="40"/>
        <v>PUT</v>
      </c>
      <c r="I287" t="s">
        <v>356</v>
      </c>
      <c r="J287" t="s">
        <v>356</v>
      </c>
      <c r="K287" s="4">
        <v>0.4548611111111111</v>
      </c>
      <c r="L287" s="4">
        <v>0.51527777777777783</v>
      </c>
      <c r="M287" s="11">
        <f t="shared" si="36"/>
        <v>0</v>
      </c>
      <c r="N287" s="11">
        <f t="shared" si="37"/>
        <v>0</v>
      </c>
      <c r="O287" s="11">
        <f t="shared" si="41"/>
        <v>0</v>
      </c>
      <c r="P287" s="11">
        <f t="shared" si="42"/>
        <v>6.041666666666673E-2</v>
      </c>
      <c r="Q287" s="11"/>
      <c r="R287" s="11"/>
      <c r="S287" s="11"/>
      <c r="T287" s="11"/>
      <c r="U287" s="27">
        <v>1.5</v>
      </c>
      <c r="V287" s="11"/>
      <c r="X287" s="11">
        <f t="shared" si="34"/>
        <v>6.041666666666673E-2</v>
      </c>
      <c r="Y287" t="s">
        <v>309</v>
      </c>
    </row>
    <row r="288" spans="1:25" outlineLevel="1" x14ac:dyDescent="0.15">
      <c r="A288" s="3">
        <v>37632</v>
      </c>
      <c r="B288" s="3" t="str">
        <f>VLOOKUP(F288, Aircraft!A$2:C$99, 2, FALSE)</f>
        <v>PA34</v>
      </c>
      <c r="C288" t="str">
        <f>VLOOKUP(F288, Aircraft!A$2:C$99, 3, FALSE)</f>
        <v>T</v>
      </c>
      <c r="D288" t="str">
        <f t="shared" si="35"/>
        <v>T</v>
      </c>
      <c r="E288" t="str">
        <f t="shared" si="33"/>
        <v>PA34</v>
      </c>
      <c r="F288" t="s">
        <v>307</v>
      </c>
      <c r="G288" t="s">
        <v>657</v>
      </c>
      <c r="H288" s="2" t="str">
        <f t="shared" si="40"/>
        <v>PUT</v>
      </c>
      <c r="I288" t="s">
        <v>356</v>
      </c>
      <c r="J288" t="s">
        <v>356</v>
      </c>
      <c r="K288" s="4">
        <v>0.57499999999999996</v>
      </c>
      <c r="L288" s="4">
        <v>0.62430555555555556</v>
      </c>
      <c r="M288" s="11">
        <f t="shared" si="36"/>
        <v>0</v>
      </c>
      <c r="N288" s="11">
        <f t="shared" si="37"/>
        <v>0</v>
      </c>
      <c r="O288" s="11">
        <f t="shared" si="41"/>
        <v>0</v>
      </c>
      <c r="P288" s="11">
        <f t="shared" si="42"/>
        <v>4.9305555555555602E-2</v>
      </c>
      <c r="Q288" s="11"/>
      <c r="R288" s="11"/>
      <c r="S288" s="11"/>
      <c r="T288" s="11"/>
      <c r="U288" s="27">
        <v>1.2</v>
      </c>
      <c r="V288" s="11"/>
      <c r="X288" s="11">
        <f t="shared" si="34"/>
        <v>4.9305555555555602E-2</v>
      </c>
      <c r="Y288" t="s">
        <v>310</v>
      </c>
    </row>
    <row r="289" spans="1:25" outlineLevel="1" x14ac:dyDescent="0.15">
      <c r="A289" s="3">
        <v>37633</v>
      </c>
      <c r="B289" s="3" t="str">
        <f>VLOOKUP(F289, Aircraft!A$2:C$99, 2, FALSE)</f>
        <v>PA34</v>
      </c>
      <c r="C289" t="str">
        <f>VLOOKUP(F289, Aircraft!A$2:C$99, 3, FALSE)</f>
        <v>T</v>
      </c>
      <c r="D289" t="str">
        <f t="shared" si="35"/>
        <v>T</v>
      </c>
      <c r="E289" t="str">
        <f t="shared" si="33"/>
        <v>PA34</v>
      </c>
      <c r="F289" t="s">
        <v>307</v>
      </c>
      <c r="G289" t="s">
        <v>657</v>
      </c>
      <c r="H289" s="2" t="str">
        <f t="shared" si="40"/>
        <v>PUT</v>
      </c>
      <c r="I289" t="s">
        <v>356</v>
      </c>
      <c r="J289" t="s">
        <v>356</v>
      </c>
      <c r="K289" s="4">
        <v>0.44791666666666669</v>
      </c>
      <c r="L289" s="4">
        <v>0.5083333333333333</v>
      </c>
      <c r="M289" s="11">
        <f t="shared" si="36"/>
        <v>0</v>
      </c>
      <c r="N289" s="11">
        <f t="shared" si="37"/>
        <v>0</v>
      </c>
      <c r="O289" s="11">
        <f t="shared" si="41"/>
        <v>0</v>
      </c>
      <c r="P289" s="11">
        <f t="shared" si="42"/>
        <v>6.0416666666666619E-2</v>
      </c>
      <c r="Q289" s="11"/>
      <c r="R289" s="11"/>
      <c r="S289" s="11"/>
      <c r="T289" s="11"/>
      <c r="U289" s="27">
        <v>1.5</v>
      </c>
      <c r="V289" s="11"/>
      <c r="X289" s="11">
        <f t="shared" si="34"/>
        <v>6.0416666666666619E-2</v>
      </c>
      <c r="Y289" t="s">
        <v>311</v>
      </c>
    </row>
    <row r="290" spans="1:25" outlineLevel="1" x14ac:dyDescent="0.15">
      <c r="A290" s="3">
        <v>37633</v>
      </c>
      <c r="B290" s="3" t="str">
        <f>VLOOKUP(F290, Aircraft!A$2:C$99, 2, FALSE)</f>
        <v>PA34</v>
      </c>
      <c r="C290" t="str">
        <f>VLOOKUP(F290, Aircraft!A$2:C$99, 3, FALSE)</f>
        <v>T</v>
      </c>
      <c r="D290" t="str">
        <f t="shared" si="35"/>
        <v>T</v>
      </c>
      <c r="E290" t="str">
        <f t="shared" si="33"/>
        <v>PA34</v>
      </c>
      <c r="F290" t="s">
        <v>307</v>
      </c>
      <c r="G290" t="s">
        <v>657</v>
      </c>
      <c r="H290" s="2" t="str">
        <f t="shared" si="40"/>
        <v>PUT</v>
      </c>
      <c r="I290" t="s">
        <v>356</v>
      </c>
      <c r="J290" t="s">
        <v>356</v>
      </c>
      <c r="K290" s="4">
        <v>0.54513888888888895</v>
      </c>
      <c r="L290" s="4">
        <v>0.59375</v>
      </c>
      <c r="M290" s="11">
        <f t="shared" si="36"/>
        <v>0</v>
      </c>
      <c r="N290" s="11">
        <f t="shared" si="37"/>
        <v>0</v>
      </c>
      <c r="O290" s="11">
        <f t="shared" si="41"/>
        <v>0</v>
      </c>
      <c r="P290" s="11">
        <f t="shared" si="42"/>
        <v>4.8611111111111049E-2</v>
      </c>
      <c r="Q290" s="11"/>
      <c r="R290" s="11"/>
      <c r="S290" s="11"/>
      <c r="T290" s="11"/>
      <c r="U290" s="27">
        <v>1.2</v>
      </c>
      <c r="V290" s="11"/>
      <c r="X290" s="11">
        <f t="shared" si="34"/>
        <v>4.8611111111111049E-2</v>
      </c>
      <c r="Y290" t="s">
        <v>477</v>
      </c>
    </row>
    <row r="291" spans="1:25" outlineLevel="1" x14ac:dyDescent="0.15">
      <c r="A291" s="3">
        <v>37633</v>
      </c>
      <c r="B291" s="3" t="str">
        <f>VLOOKUP(F291, Aircraft!A$2:C$99, 2, FALSE)</f>
        <v>PA28</v>
      </c>
      <c r="C291" t="str">
        <f>VLOOKUP(F291, Aircraft!A$2:C$99, 3, FALSE)</f>
        <v>S</v>
      </c>
      <c r="D291" t="str">
        <f t="shared" si="35"/>
        <v>S</v>
      </c>
      <c r="E291" t="str">
        <f t="shared" si="33"/>
        <v>PA28</v>
      </c>
      <c r="F291" t="s">
        <v>228</v>
      </c>
      <c r="G291" t="s">
        <v>177</v>
      </c>
      <c r="H291" s="2" t="str">
        <f t="shared" si="40"/>
        <v>PUT</v>
      </c>
      <c r="I291" t="s">
        <v>250</v>
      </c>
      <c r="J291" t="s">
        <v>250</v>
      </c>
      <c r="K291" s="4">
        <v>0.69444444444444453</v>
      </c>
      <c r="L291" s="4">
        <v>0.72222222222222221</v>
      </c>
      <c r="M291" s="11">
        <f t="shared" si="36"/>
        <v>0</v>
      </c>
      <c r="N291" s="11">
        <f t="shared" si="37"/>
        <v>2.7777777777777679E-2</v>
      </c>
      <c r="O291" s="11">
        <f t="shared" si="41"/>
        <v>0</v>
      </c>
      <c r="P291" s="11">
        <f t="shared" si="42"/>
        <v>0</v>
      </c>
      <c r="Q291" s="11"/>
      <c r="R291" s="11"/>
      <c r="S291" s="11"/>
      <c r="T291" s="11"/>
      <c r="V291" s="11"/>
      <c r="X291" s="11">
        <f t="shared" si="34"/>
        <v>2.7777777777777679E-2</v>
      </c>
      <c r="Y291" t="s">
        <v>478</v>
      </c>
    </row>
    <row r="292" spans="1:25" outlineLevel="1" x14ac:dyDescent="0.15">
      <c r="A292" s="3">
        <v>37639</v>
      </c>
      <c r="B292" s="3" t="str">
        <f>VLOOKUP(F292, Aircraft!A$2:C$99, 2, FALSE)</f>
        <v>PA34</v>
      </c>
      <c r="C292" t="str">
        <f>VLOOKUP(F292, Aircraft!A$2:C$99, 3, FALSE)</f>
        <v>T</v>
      </c>
      <c r="D292" t="str">
        <f t="shared" si="35"/>
        <v>T</v>
      </c>
      <c r="E292" t="str">
        <f t="shared" si="33"/>
        <v>PA34</v>
      </c>
      <c r="F292" t="s">
        <v>572</v>
      </c>
      <c r="G292" t="s">
        <v>191</v>
      </c>
      <c r="H292" s="2" t="str">
        <f t="shared" si="40"/>
        <v>P1</v>
      </c>
      <c r="I292" t="s">
        <v>250</v>
      </c>
      <c r="J292" t="s">
        <v>250</v>
      </c>
      <c r="K292" s="4">
        <v>0.46527777777777773</v>
      </c>
      <c r="L292" s="4">
        <v>0.50694444444444442</v>
      </c>
      <c r="M292" s="11">
        <f t="shared" si="36"/>
        <v>0</v>
      </c>
      <c r="N292" s="11">
        <f t="shared" si="37"/>
        <v>0</v>
      </c>
      <c r="O292" s="11">
        <f t="shared" si="41"/>
        <v>4.1666666666666685E-2</v>
      </c>
      <c r="P292" s="11">
        <f t="shared" si="42"/>
        <v>0</v>
      </c>
      <c r="Q292" s="11"/>
      <c r="R292" s="11"/>
      <c r="S292" s="11"/>
      <c r="T292" s="11"/>
      <c r="V292" s="11"/>
      <c r="X292" s="11">
        <f t="shared" si="34"/>
        <v>4.1666666666666685E-2</v>
      </c>
      <c r="Y292" t="s">
        <v>479</v>
      </c>
    </row>
    <row r="293" spans="1:25" outlineLevel="1" x14ac:dyDescent="0.15">
      <c r="A293" s="3">
        <v>37639</v>
      </c>
      <c r="B293" s="3" t="str">
        <f>VLOOKUP(F293, Aircraft!A$2:C$99, 2, FALSE)</f>
        <v>PA34</v>
      </c>
      <c r="C293" t="str">
        <f>VLOOKUP(F293, Aircraft!A$2:C$99, 3, FALSE)</f>
        <v>T</v>
      </c>
      <c r="D293" t="str">
        <f t="shared" si="35"/>
        <v>T</v>
      </c>
      <c r="E293" t="str">
        <f t="shared" si="33"/>
        <v>PA34</v>
      </c>
      <c r="F293" t="s">
        <v>572</v>
      </c>
      <c r="G293" t="s">
        <v>191</v>
      </c>
      <c r="H293" s="2" t="str">
        <f t="shared" si="40"/>
        <v>P1</v>
      </c>
      <c r="I293" t="s">
        <v>250</v>
      </c>
      <c r="J293" t="s">
        <v>62</v>
      </c>
      <c r="K293" s="4">
        <v>0.59027777777777779</v>
      </c>
      <c r="L293" s="4">
        <v>0.625</v>
      </c>
      <c r="M293" s="11">
        <f t="shared" si="36"/>
        <v>0</v>
      </c>
      <c r="N293" s="11">
        <f t="shared" si="37"/>
        <v>0</v>
      </c>
      <c r="O293" s="11">
        <f t="shared" si="41"/>
        <v>3.472222222222221E-2</v>
      </c>
      <c r="P293" s="11">
        <f t="shared" si="42"/>
        <v>0</v>
      </c>
      <c r="Q293" s="11"/>
      <c r="R293" s="11"/>
      <c r="S293" s="11"/>
      <c r="T293" s="11"/>
      <c r="V293" s="11"/>
      <c r="X293" s="11">
        <f t="shared" si="34"/>
        <v>3.472222222222221E-2</v>
      </c>
      <c r="Y293" t="s">
        <v>484</v>
      </c>
    </row>
    <row r="294" spans="1:25" outlineLevel="1" x14ac:dyDescent="0.15">
      <c r="A294" s="3">
        <v>37639</v>
      </c>
      <c r="B294" s="3" t="str">
        <f>VLOOKUP(F294, Aircraft!A$2:C$99, 2, FALSE)</f>
        <v>PA34</v>
      </c>
      <c r="C294" t="str">
        <f>VLOOKUP(F294, Aircraft!A$2:C$99, 3, FALSE)</f>
        <v>T</v>
      </c>
      <c r="D294" t="str">
        <f t="shared" si="35"/>
        <v>T</v>
      </c>
      <c r="E294" t="str">
        <f t="shared" si="33"/>
        <v>PA34</v>
      </c>
      <c r="F294" t="s">
        <v>572</v>
      </c>
      <c r="G294" t="s">
        <v>191</v>
      </c>
      <c r="H294" s="2" t="str">
        <f t="shared" si="40"/>
        <v>P1</v>
      </c>
      <c r="I294" t="s">
        <v>62</v>
      </c>
      <c r="J294" t="s">
        <v>250</v>
      </c>
      <c r="K294" s="4">
        <v>0.66319444444444442</v>
      </c>
      <c r="L294" s="4">
        <v>0.70833333333333337</v>
      </c>
      <c r="M294" s="11">
        <f t="shared" si="36"/>
        <v>0</v>
      </c>
      <c r="N294" s="11">
        <f t="shared" si="37"/>
        <v>0</v>
      </c>
      <c r="O294" s="11">
        <f t="shared" si="41"/>
        <v>4.5138888888888951E-2</v>
      </c>
      <c r="P294" s="11">
        <f t="shared" si="42"/>
        <v>0</v>
      </c>
      <c r="Q294" s="11"/>
      <c r="R294" s="11"/>
      <c r="S294" s="11"/>
      <c r="T294" s="11"/>
      <c r="V294" s="11"/>
      <c r="X294" s="11">
        <f t="shared" si="34"/>
        <v>4.5138888888888951E-2</v>
      </c>
    </row>
    <row r="295" spans="1:25" outlineLevel="1" x14ac:dyDescent="0.15">
      <c r="A295" s="3">
        <v>37640</v>
      </c>
      <c r="B295" s="3" t="str">
        <f>VLOOKUP(F295, Aircraft!A$2:C$99, 2, FALSE)</f>
        <v>PA34</v>
      </c>
      <c r="C295" t="str">
        <f>VLOOKUP(F295, Aircraft!A$2:C$99, 3, FALSE)</f>
        <v>T</v>
      </c>
      <c r="D295" t="str">
        <f t="shared" si="35"/>
        <v>T</v>
      </c>
      <c r="E295" t="str">
        <f t="shared" si="33"/>
        <v>PA34</v>
      </c>
      <c r="F295" t="s">
        <v>307</v>
      </c>
      <c r="G295" t="s">
        <v>657</v>
      </c>
      <c r="H295" s="2" t="str">
        <f t="shared" si="40"/>
        <v>PUT</v>
      </c>
      <c r="I295" t="s">
        <v>356</v>
      </c>
      <c r="J295" t="s">
        <v>356</v>
      </c>
      <c r="K295" s="4">
        <v>0.41875000000000001</v>
      </c>
      <c r="L295" s="4">
        <v>0.4916666666666667</v>
      </c>
      <c r="M295" s="11">
        <f t="shared" si="36"/>
        <v>0</v>
      </c>
      <c r="N295" s="11">
        <f t="shared" si="37"/>
        <v>0</v>
      </c>
      <c r="O295" s="11">
        <f t="shared" si="41"/>
        <v>0</v>
      </c>
      <c r="P295" s="11">
        <f t="shared" si="42"/>
        <v>7.2916666666666685E-2</v>
      </c>
      <c r="Q295" s="11"/>
      <c r="R295" s="11"/>
      <c r="S295" s="11"/>
      <c r="T295" s="11"/>
      <c r="U295" s="27">
        <v>1.7</v>
      </c>
      <c r="V295" s="11"/>
      <c r="X295" s="11">
        <f t="shared" si="34"/>
        <v>7.2916666666666685E-2</v>
      </c>
    </row>
    <row r="296" spans="1:25" outlineLevel="1" x14ac:dyDescent="0.15">
      <c r="A296" s="3">
        <v>37640</v>
      </c>
      <c r="B296" s="3" t="str">
        <f>VLOOKUP(F296, Aircraft!A$2:C$99, 2, FALSE)</f>
        <v>PA34</v>
      </c>
      <c r="C296" t="str">
        <f>VLOOKUP(F296, Aircraft!A$2:C$99, 3, FALSE)</f>
        <v>T</v>
      </c>
      <c r="D296" t="str">
        <f t="shared" si="35"/>
        <v>T</v>
      </c>
      <c r="E296" t="str">
        <f t="shared" si="33"/>
        <v>PA34</v>
      </c>
      <c r="F296" t="s">
        <v>307</v>
      </c>
      <c r="G296" t="s">
        <v>657</v>
      </c>
      <c r="H296" s="2" t="str">
        <f t="shared" si="40"/>
        <v>PUT</v>
      </c>
      <c r="I296" t="s">
        <v>356</v>
      </c>
      <c r="J296" t="s">
        <v>145</v>
      </c>
      <c r="K296" s="4">
        <v>0.5625</v>
      </c>
      <c r="L296" s="4">
        <v>0.62152777777777779</v>
      </c>
      <c r="M296" s="11">
        <f t="shared" si="36"/>
        <v>0</v>
      </c>
      <c r="N296" s="11">
        <f t="shared" si="37"/>
        <v>0</v>
      </c>
      <c r="O296" s="11">
        <f t="shared" si="41"/>
        <v>0</v>
      </c>
      <c r="P296" s="11">
        <f t="shared" si="42"/>
        <v>5.902777777777779E-2</v>
      </c>
      <c r="Q296" s="11"/>
      <c r="R296" s="11"/>
      <c r="S296" s="11"/>
      <c r="T296" s="11"/>
      <c r="U296" s="27">
        <v>1.4</v>
      </c>
      <c r="V296" s="11"/>
      <c r="X296" s="11">
        <f t="shared" si="34"/>
        <v>5.902777777777779E-2</v>
      </c>
      <c r="Y296" t="s">
        <v>471</v>
      </c>
    </row>
    <row r="297" spans="1:25" outlineLevel="1" x14ac:dyDescent="0.15">
      <c r="A297" s="3">
        <v>37646</v>
      </c>
      <c r="B297" s="3" t="str">
        <f>VLOOKUP(F297, Aircraft!A$2:C$99, 2, FALSE)</f>
        <v>PA34</v>
      </c>
      <c r="C297" t="str">
        <f>VLOOKUP(F297, Aircraft!A$2:C$99, 3, FALSE)</f>
        <v>T</v>
      </c>
      <c r="D297" t="str">
        <f t="shared" si="35"/>
        <v>T</v>
      </c>
      <c r="E297" t="str">
        <f t="shared" si="33"/>
        <v>PA34</v>
      </c>
      <c r="F297" t="s">
        <v>307</v>
      </c>
      <c r="G297" t="s">
        <v>657</v>
      </c>
      <c r="H297" s="2" t="str">
        <f t="shared" si="40"/>
        <v>PUT</v>
      </c>
      <c r="I297" t="s">
        <v>356</v>
      </c>
      <c r="J297" t="s">
        <v>356</v>
      </c>
      <c r="K297" s="4">
        <v>0.44027777777777777</v>
      </c>
      <c r="L297" s="4">
        <v>0.52500000000000002</v>
      </c>
      <c r="M297" s="11">
        <f t="shared" si="36"/>
        <v>0</v>
      </c>
      <c r="N297" s="11">
        <f t="shared" si="37"/>
        <v>0</v>
      </c>
      <c r="O297" s="11">
        <f t="shared" si="41"/>
        <v>0</v>
      </c>
      <c r="P297" s="11">
        <f t="shared" si="42"/>
        <v>8.4722222222222254E-2</v>
      </c>
      <c r="Q297" s="11"/>
      <c r="R297" s="11"/>
      <c r="S297" s="11"/>
      <c r="T297" s="11"/>
      <c r="U297" s="27">
        <v>2</v>
      </c>
      <c r="V297" s="11"/>
      <c r="X297" s="11">
        <f t="shared" si="34"/>
        <v>8.4722222222222254E-2</v>
      </c>
      <c r="Y297" t="s">
        <v>472</v>
      </c>
    </row>
    <row r="298" spans="1:25" outlineLevel="1" x14ac:dyDescent="0.15">
      <c r="A298" s="3">
        <v>37646</v>
      </c>
      <c r="B298" s="3" t="str">
        <f>VLOOKUP(F298, Aircraft!A$2:C$99, 2, FALSE)</f>
        <v>PA34</v>
      </c>
      <c r="C298" t="str">
        <f>VLOOKUP(F298, Aircraft!A$2:C$99, 3, FALSE)</f>
        <v>T</v>
      </c>
      <c r="D298" t="str">
        <f t="shared" si="35"/>
        <v>T</v>
      </c>
      <c r="E298" t="str">
        <f t="shared" si="33"/>
        <v>PA34</v>
      </c>
      <c r="F298" t="s">
        <v>307</v>
      </c>
      <c r="G298" t="s">
        <v>657</v>
      </c>
      <c r="H298" s="2" t="str">
        <f t="shared" si="40"/>
        <v>PUT</v>
      </c>
      <c r="I298" t="s">
        <v>356</v>
      </c>
      <c r="J298" t="s">
        <v>356</v>
      </c>
      <c r="K298" s="4">
        <v>0.63541666666666663</v>
      </c>
      <c r="L298" s="4">
        <v>0.7006944444444444</v>
      </c>
      <c r="M298" s="11">
        <f t="shared" si="36"/>
        <v>0</v>
      </c>
      <c r="N298" s="11">
        <f t="shared" si="37"/>
        <v>0</v>
      </c>
      <c r="O298" s="11">
        <f t="shared" si="41"/>
        <v>0</v>
      </c>
      <c r="P298" s="11">
        <f t="shared" si="42"/>
        <v>6.5277777777777768E-2</v>
      </c>
      <c r="Q298" s="11"/>
      <c r="R298" s="11"/>
      <c r="S298" s="11"/>
      <c r="T298" s="11"/>
      <c r="U298" s="27">
        <v>1.6</v>
      </c>
      <c r="V298" s="11"/>
      <c r="X298" s="11">
        <f t="shared" si="34"/>
        <v>6.5277777777777768E-2</v>
      </c>
      <c r="Y298" t="s">
        <v>473</v>
      </c>
    </row>
    <row r="299" spans="1:25" outlineLevel="1" x14ac:dyDescent="0.15">
      <c r="A299" s="3">
        <v>37647</v>
      </c>
      <c r="B299" s="3" t="str">
        <f>VLOOKUP(F299, Aircraft!A$2:C$99, 2, FALSE)</f>
        <v>PA34</v>
      </c>
      <c r="C299" t="str">
        <f>VLOOKUP(F299, Aircraft!A$2:C$99, 3, FALSE)</f>
        <v>T</v>
      </c>
      <c r="D299" t="str">
        <f t="shared" si="35"/>
        <v>T</v>
      </c>
      <c r="E299" t="str">
        <f t="shared" si="33"/>
        <v>PA34</v>
      </c>
      <c r="F299" t="s">
        <v>307</v>
      </c>
      <c r="G299" t="s">
        <v>657</v>
      </c>
      <c r="H299" s="2" t="str">
        <f t="shared" si="40"/>
        <v>PUT</v>
      </c>
      <c r="I299" t="s">
        <v>356</v>
      </c>
      <c r="J299" t="s">
        <v>356</v>
      </c>
      <c r="K299" s="4">
        <v>0.43125000000000002</v>
      </c>
      <c r="L299" s="4">
        <v>0.50694444444444442</v>
      </c>
      <c r="M299" s="11">
        <f t="shared" si="36"/>
        <v>0</v>
      </c>
      <c r="N299" s="11">
        <f t="shared" si="37"/>
        <v>0</v>
      </c>
      <c r="O299" s="11">
        <f t="shared" si="41"/>
        <v>0</v>
      </c>
      <c r="P299" s="11">
        <f t="shared" si="42"/>
        <v>7.5694444444444398E-2</v>
      </c>
      <c r="Q299" s="11"/>
      <c r="R299" s="11"/>
      <c r="S299" s="11"/>
      <c r="T299" s="11"/>
      <c r="U299" s="27">
        <v>1.8</v>
      </c>
      <c r="V299" s="11"/>
      <c r="X299" s="11">
        <f t="shared" si="34"/>
        <v>7.5694444444444398E-2</v>
      </c>
      <c r="Y299" t="s">
        <v>445</v>
      </c>
    </row>
    <row r="300" spans="1:25" outlineLevel="1" x14ac:dyDescent="0.15">
      <c r="A300" s="3">
        <v>37647</v>
      </c>
      <c r="B300" s="3" t="str">
        <f>VLOOKUP(F300, Aircraft!A$2:C$99, 2, FALSE)</f>
        <v>PA34</v>
      </c>
      <c r="C300" t="str">
        <f>VLOOKUP(F300, Aircraft!A$2:C$99, 3, FALSE)</f>
        <v>T</v>
      </c>
      <c r="D300" t="str">
        <f t="shared" si="35"/>
        <v>T</v>
      </c>
      <c r="E300" t="str">
        <f t="shared" si="33"/>
        <v>PA34</v>
      </c>
      <c r="F300" t="s">
        <v>307</v>
      </c>
      <c r="G300" t="s">
        <v>657</v>
      </c>
      <c r="H300" s="2" t="str">
        <f t="shared" si="40"/>
        <v>PUT</v>
      </c>
      <c r="I300" t="s">
        <v>356</v>
      </c>
      <c r="J300" t="s">
        <v>356</v>
      </c>
      <c r="K300" s="4">
        <v>0.6118055555555556</v>
      </c>
      <c r="L300" s="4">
        <v>0.69444444444444453</v>
      </c>
      <c r="M300" s="11">
        <f t="shared" si="36"/>
        <v>0</v>
      </c>
      <c r="N300" s="11">
        <f t="shared" si="37"/>
        <v>0</v>
      </c>
      <c r="O300" s="11">
        <f t="shared" si="41"/>
        <v>0</v>
      </c>
      <c r="P300" s="11">
        <f t="shared" si="42"/>
        <v>8.2638888888888928E-2</v>
      </c>
      <c r="Q300" s="11"/>
      <c r="R300" s="11"/>
      <c r="S300" s="11"/>
      <c r="T300" s="11"/>
      <c r="U300" s="27">
        <v>2</v>
      </c>
      <c r="V300" s="11"/>
      <c r="X300" s="11">
        <f t="shared" si="34"/>
        <v>8.2638888888888928E-2</v>
      </c>
      <c r="Y300" t="s">
        <v>402</v>
      </c>
    </row>
    <row r="301" spans="1:25" outlineLevel="1" x14ac:dyDescent="0.15">
      <c r="A301" s="3">
        <v>37654</v>
      </c>
      <c r="B301" s="3" t="str">
        <f>VLOOKUP(F301, Aircraft!A$2:C$99, 2, FALSE)</f>
        <v>PA28</v>
      </c>
      <c r="C301" t="str">
        <f>VLOOKUP(F301, Aircraft!A$2:C$99, 3, FALSE)</f>
        <v>S</v>
      </c>
      <c r="D301" t="str">
        <f t="shared" si="35"/>
        <v>S</v>
      </c>
      <c r="E301" t="str">
        <f t="shared" si="33"/>
        <v>PA28</v>
      </c>
      <c r="F301" t="s">
        <v>560</v>
      </c>
      <c r="G301" t="s">
        <v>191</v>
      </c>
      <c r="H301" s="2" t="str">
        <f t="shared" si="40"/>
        <v>P1</v>
      </c>
      <c r="I301" t="s">
        <v>250</v>
      </c>
      <c r="J301" t="s">
        <v>250</v>
      </c>
      <c r="K301" s="4">
        <v>0.49305555555555558</v>
      </c>
      <c r="L301" s="4">
        <v>0.53125</v>
      </c>
      <c r="M301" s="11">
        <f t="shared" si="36"/>
        <v>3.819444444444442E-2</v>
      </c>
      <c r="N301" s="11">
        <f t="shared" si="37"/>
        <v>0</v>
      </c>
      <c r="O301" s="11">
        <f t="shared" si="41"/>
        <v>0</v>
      </c>
      <c r="P301" s="11">
        <f t="shared" si="42"/>
        <v>0</v>
      </c>
      <c r="Q301" s="11"/>
      <c r="R301" s="11"/>
      <c r="S301" s="11"/>
      <c r="T301" s="11"/>
      <c r="V301" s="11"/>
      <c r="X301" s="11">
        <f t="shared" si="34"/>
        <v>3.819444444444442E-2</v>
      </c>
      <c r="Y301" t="s">
        <v>474</v>
      </c>
    </row>
    <row r="302" spans="1:25" outlineLevel="1" x14ac:dyDescent="0.15">
      <c r="A302" s="3">
        <v>37655</v>
      </c>
      <c r="B302" s="3" t="str">
        <f>VLOOKUP(F302, Aircraft!A$2:C$99, 2, FALSE)</f>
        <v>PA34</v>
      </c>
      <c r="C302" t="str">
        <f>VLOOKUP(F302, Aircraft!A$2:C$99, 3, FALSE)</f>
        <v>T</v>
      </c>
      <c r="D302" t="str">
        <f t="shared" si="35"/>
        <v>T</v>
      </c>
      <c r="E302" t="str">
        <f t="shared" si="33"/>
        <v>PA34</v>
      </c>
      <c r="F302" t="s">
        <v>307</v>
      </c>
      <c r="G302" t="s">
        <v>657</v>
      </c>
      <c r="H302" s="2" t="str">
        <f t="shared" si="40"/>
        <v>PUT</v>
      </c>
      <c r="I302" t="s">
        <v>356</v>
      </c>
      <c r="J302" t="s">
        <v>356</v>
      </c>
      <c r="K302" s="4">
        <v>0.44166666666666665</v>
      </c>
      <c r="L302" s="4">
        <v>0.49583333333333335</v>
      </c>
      <c r="M302" s="11">
        <f t="shared" si="36"/>
        <v>0</v>
      </c>
      <c r="N302" s="11">
        <f t="shared" si="37"/>
        <v>0</v>
      </c>
      <c r="O302" s="11">
        <f t="shared" si="41"/>
        <v>0</v>
      </c>
      <c r="P302" s="11">
        <f t="shared" si="42"/>
        <v>5.4166666666666696E-2</v>
      </c>
      <c r="Q302" s="11"/>
      <c r="R302" s="11"/>
      <c r="S302" s="11"/>
      <c r="T302" s="11"/>
      <c r="U302" s="27">
        <v>1.2</v>
      </c>
      <c r="V302" s="11"/>
      <c r="X302" s="11">
        <f t="shared" si="34"/>
        <v>5.4166666666666696E-2</v>
      </c>
      <c r="Y302" t="s">
        <v>475</v>
      </c>
    </row>
    <row r="303" spans="1:25" outlineLevel="1" x14ac:dyDescent="0.15">
      <c r="A303" s="3">
        <v>37655</v>
      </c>
      <c r="B303" s="3" t="str">
        <f>VLOOKUP(F303, Aircraft!A$2:C$99, 2, FALSE)</f>
        <v>PA34</v>
      </c>
      <c r="C303" t="str">
        <f>VLOOKUP(F303, Aircraft!A$2:C$99, 3, FALSE)</f>
        <v>T</v>
      </c>
      <c r="D303" t="str">
        <f t="shared" si="35"/>
        <v>T</v>
      </c>
      <c r="E303" t="str">
        <f t="shared" ref="E303:E308" si="43">IF(ISNA(B303), "", B303)</f>
        <v>PA34</v>
      </c>
      <c r="F303" t="s">
        <v>307</v>
      </c>
      <c r="G303" t="s">
        <v>657</v>
      </c>
      <c r="H303" s="2" t="str">
        <f t="shared" si="40"/>
        <v>PUT</v>
      </c>
      <c r="I303" t="s">
        <v>356</v>
      </c>
      <c r="J303" t="s">
        <v>356</v>
      </c>
      <c r="K303" s="4">
        <v>0.57430555555555551</v>
      </c>
      <c r="L303" s="4">
        <v>0.65</v>
      </c>
      <c r="M303" s="11">
        <f t="shared" si="36"/>
        <v>0</v>
      </c>
      <c r="N303" s="11">
        <f t="shared" si="37"/>
        <v>0</v>
      </c>
      <c r="O303" s="11">
        <f t="shared" si="41"/>
        <v>0</v>
      </c>
      <c r="P303" s="11">
        <f t="shared" si="42"/>
        <v>7.5694444444444509E-2</v>
      </c>
      <c r="Q303" s="11"/>
      <c r="R303" s="11"/>
      <c r="S303" s="11"/>
      <c r="T303" s="11"/>
      <c r="U303" s="27">
        <v>1.8</v>
      </c>
      <c r="V303" s="11"/>
      <c r="X303" s="11">
        <f t="shared" si="34"/>
        <v>7.5694444444444509E-2</v>
      </c>
      <c r="Y303" t="s">
        <v>476</v>
      </c>
    </row>
    <row r="304" spans="1:25" outlineLevel="1" x14ac:dyDescent="0.15">
      <c r="A304" s="3">
        <v>37656</v>
      </c>
      <c r="B304" s="3" t="str">
        <f>VLOOKUP(F304, Aircraft!A$2:C$99, 2, FALSE)</f>
        <v>PA34</v>
      </c>
      <c r="C304" t="str">
        <f>VLOOKUP(F304, Aircraft!A$2:C$99, 3, FALSE)</f>
        <v>T</v>
      </c>
      <c r="D304" t="str">
        <f t="shared" si="35"/>
        <v>T</v>
      </c>
      <c r="E304" t="str">
        <f t="shared" si="43"/>
        <v>PA34</v>
      </c>
      <c r="F304" t="s">
        <v>307</v>
      </c>
      <c r="G304" t="s">
        <v>657</v>
      </c>
      <c r="H304" s="2" t="str">
        <f t="shared" si="40"/>
        <v>PUT</v>
      </c>
      <c r="I304" t="s">
        <v>356</v>
      </c>
      <c r="J304" t="s">
        <v>356</v>
      </c>
      <c r="K304" s="4">
        <v>0.41736111111111113</v>
      </c>
      <c r="L304" s="4">
        <v>0.46527777777777773</v>
      </c>
      <c r="M304" s="11">
        <f t="shared" si="36"/>
        <v>0</v>
      </c>
      <c r="N304" s="11">
        <f t="shared" si="37"/>
        <v>0</v>
      </c>
      <c r="O304" s="11">
        <f t="shared" si="41"/>
        <v>0</v>
      </c>
      <c r="P304" s="11">
        <f t="shared" si="42"/>
        <v>4.7916666666666607E-2</v>
      </c>
      <c r="Q304" s="11"/>
      <c r="R304" s="11"/>
      <c r="S304" s="11"/>
      <c r="T304" s="11"/>
      <c r="U304" s="27">
        <v>1.2</v>
      </c>
      <c r="V304" s="11"/>
      <c r="X304" s="11">
        <f t="shared" si="34"/>
        <v>4.7916666666666607E-2</v>
      </c>
      <c r="Y304" t="s">
        <v>674</v>
      </c>
    </row>
    <row r="305" spans="1:25" outlineLevel="1" x14ac:dyDescent="0.15">
      <c r="A305" s="3">
        <v>37656</v>
      </c>
      <c r="B305" s="3" t="str">
        <f>VLOOKUP(F305, Aircraft!A$2:C$99, 2, FALSE)</f>
        <v>PA34</v>
      </c>
      <c r="C305" t="str">
        <f>VLOOKUP(F305, Aircraft!A$2:C$99, 3, FALSE)</f>
        <v>T</v>
      </c>
      <c r="D305" t="str">
        <f t="shared" si="35"/>
        <v>T</v>
      </c>
      <c r="E305" t="str">
        <f t="shared" si="43"/>
        <v>PA34</v>
      </c>
      <c r="F305" t="s">
        <v>307</v>
      </c>
      <c r="G305" t="s">
        <v>657</v>
      </c>
      <c r="H305" s="2" t="str">
        <f t="shared" si="40"/>
        <v>PUT</v>
      </c>
      <c r="I305" t="s">
        <v>356</v>
      </c>
      <c r="J305" t="s">
        <v>356</v>
      </c>
      <c r="K305" s="4">
        <v>0.55902777777777779</v>
      </c>
      <c r="L305" s="4">
        <v>0.65694444444444444</v>
      </c>
      <c r="M305" s="11">
        <f t="shared" si="36"/>
        <v>0</v>
      </c>
      <c r="N305" s="11">
        <f t="shared" si="37"/>
        <v>0</v>
      </c>
      <c r="O305" s="11">
        <f t="shared" si="41"/>
        <v>0</v>
      </c>
      <c r="P305" s="11">
        <f t="shared" si="42"/>
        <v>9.7916666666666652E-2</v>
      </c>
      <c r="Q305" s="11"/>
      <c r="R305" s="11"/>
      <c r="S305" s="11"/>
      <c r="T305" s="11"/>
      <c r="U305" s="27">
        <v>2.2999999999999998</v>
      </c>
      <c r="V305" s="11"/>
      <c r="X305" s="11">
        <f t="shared" si="34"/>
        <v>9.7916666666666652E-2</v>
      </c>
      <c r="Y305" t="s">
        <v>675</v>
      </c>
    </row>
    <row r="306" spans="1:25" outlineLevel="1" x14ac:dyDescent="0.15">
      <c r="A306" s="3">
        <v>37657</v>
      </c>
      <c r="B306" s="3" t="str">
        <f>VLOOKUP(F306, Aircraft!A$2:C$99, 2, FALSE)</f>
        <v>PA34</v>
      </c>
      <c r="C306" t="str">
        <f>VLOOKUP(F306, Aircraft!A$2:C$99, 3, FALSE)</f>
        <v>T</v>
      </c>
      <c r="D306" t="str">
        <f t="shared" si="35"/>
        <v>T</v>
      </c>
      <c r="E306" t="str">
        <f t="shared" si="43"/>
        <v>PA34</v>
      </c>
      <c r="F306" t="s">
        <v>307</v>
      </c>
      <c r="G306" t="s">
        <v>657</v>
      </c>
      <c r="H306" s="2" t="str">
        <f t="shared" si="40"/>
        <v>PUT</v>
      </c>
      <c r="I306" t="s">
        <v>356</v>
      </c>
      <c r="J306" t="s">
        <v>356</v>
      </c>
      <c r="K306" s="4">
        <v>0.4381944444444445</v>
      </c>
      <c r="L306" s="4">
        <v>0.52152777777777781</v>
      </c>
      <c r="M306" s="11">
        <f t="shared" si="36"/>
        <v>0</v>
      </c>
      <c r="N306" s="11">
        <f t="shared" si="37"/>
        <v>0</v>
      </c>
      <c r="O306" s="11">
        <f t="shared" si="41"/>
        <v>0</v>
      </c>
      <c r="P306" s="11">
        <f t="shared" si="42"/>
        <v>8.3333333333333315E-2</v>
      </c>
      <c r="Q306" s="11"/>
      <c r="R306" s="11"/>
      <c r="S306" s="11"/>
      <c r="T306" s="11"/>
      <c r="U306" s="27">
        <v>2</v>
      </c>
      <c r="V306" s="11"/>
      <c r="X306" s="11">
        <f t="shared" si="34"/>
        <v>8.3333333333333315E-2</v>
      </c>
      <c r="Y306" t="s">
        <v>676</v>
      </c>
    </row>
    <row r="307" spans="1:25" outlineLevel="1" x14ac:dyDescent="0.15">
      <c r="A307" s="3">
        <v>37657</v>
      </c>
      <c r="B307" s="3" t="str">
        <f>VLOOKUP(F307, Aircraft!A$2:C$99, 2, FALSE)</f>
        <v>PA34</v>
      </c>
      <c r="C307" t="str">
        <f>VLOOKUP(F307, Aircraft!A$2:C$99, 3, FALSE)</f>
        <v>T</v>
      </c>
      <c r="D307" t="str">
        <f t="shared" si="35"/>
        <v>T</v>
      </c>
      <c r="E307" t="str">
        <f t="shared" si="43"/>
        <v>PA34</v>
      </c>
      <c r="F307" t="s">
        <v>307</v>
      </c>
      <c r="G307" t="s">
        <v>657</v>
      </c>
      <c r="H307" s="2" t="str">
        <f t="shared" si="40"/>
        <v>PUT</v>
      </c>
      <c r="I307" t="s">
        <v>356</v>
      </c>
      <c r="J307" t="s">
        <v>356</v>
      </c>
      <c r="K307" s="4">
        <v>0.59722222222222221</v>
      </c>
      <c r="L307" s="4">
        <v>0.67222222222222217</v>
      </c>
      <c r="M307" s="11">
        <f t="shared" si="36"/>
        <v>0</v>
      </c>
      <c r="N307" s="11">
        <f t="shared" si="37"/>
        <v>0</v>
      </c>
      <c r="O307" s="11">
        <f t="shared" si="41"/>
        <v>0</v>
      </c>
      <c r="P307" s="11">
        <f t="shared" si="42"/>
        <v>7.4999999999999956E-2</v>
      </c>
      <c r="Q307" s="11"/>
      <c r="R307" s="11"/>
      <c r="S307" s="11"/>
      <c r="T307" s="11"/>
      <c r="U307" s="27">
        <v>1.8</v>
      </c>
      <c r="V307" s="11"/>
      <c r="X307" s="11">
        <f t="shared" si="34"/>
        <v>7.4999999999999956E-2</v>
      </c>
      <c r="Y307" t="s">
        <v>677</v>
      </c>
    </row>
    <row r="308" spans="1:25" outlineLevel="1" x14ac:dyDescent="0.15">
      <c r="A308" s="3">
        <v>37658</v>
      </c>
      <c r="B308" s="3" t="str">
        <f>VLOOKUP(F308, Aircraft!A$2:C$99, 2, FALSE)</f>
        <v>PA34</v>
      </c>
      <c r="C308" t="str">
        <f>VLOOKUP(F308, Aircraft!A$2:C$99, 3, FALSE)</f>
        <v>T</v>
      </c>
      <c r="D308" t="str">
        <f t="shared" si="35"/>
        <v>T</v>
      </c>
      <c r="E308" t="str">
        <f t="shared" si="43"/>
        <v>PA34</v>
      </c>
      <c r="F308" t="s">
        <v>307</v>
      </c>
      <c r="G308" t="s">
        <v>657</v>
      </c>
      <c r="H308" s="2" t="str">
        <f t="shared" si="40"/>
        <v>PUT</v>
      </c>
      <c r="I308" t="s">
        <v>356</v>
      </c>
      <c r="J308" t="s">
        <v>356</v>
      </c>
      <c r="K308" s="4">
        <v>0.4069444444444445</v>
      </c>
      <c r="L308" s="4">
        <v>0.47083333333333338</v>
      </c>
      <c r="M308" s="11">
        <f t="shared" si="36"/>
        <v>0</v>
      </c>
      <c r="N308" s="11">
        <f t="shared" si="37"/>
        <v>0</v>
      </c>
      <c r="O308" s="11">
        <f t="shared" si="41"/>
        <v>0</v>
      </c>
      <c r="P308" s="11">
        <f t="shared" si="42"/>
        <v>6.3888888888888884E-2</v>
      </c>
      <c r="Q308" s="11"/>
      <c r="R308" s="11"/>
      <c r="S308" s="11"/>
      <c r="T308" s="11"/>
      <c r="U308" s="27">
        <v>1.5</v>
      </c>
      <c r="V308" s="11"/>
      <c r="X308" s="11">
        <f t="shared" si="34"/>
        <v>6.3888888888888884E-2</v>
      </c>
      <c r="Y308" t="s">
        <v>338</v>
      </c>
    </row>
    <row r="309" spans="1:25" outlineLevel="1" x14ac:dyDescent="0.15">
      <c r="A309" s="3">
        <v>37658</v>
      </c>
      <c r="B309" s="3" t="str">
        <f>VLOOKUP(F309, Aircraft!A$2:C$99, 2, FALSE)</f>
        <v>PA34</v>
      </c>
      <c r="C309" t="str">
        <f>VLOOKUP(F309, Aircraft!A$2:C$99, 3, FALSE)</f>
        <v>T</v>
      </c>
      <c r="D309" t="str">
        <f t="shared" si="35"/>
        <v>T</v>
      </c>
      <c r="E309" t="str">
        <f>IF(ISNA(B309), "", B309)</f>
        <v>PA34</v>
      </c>
      <c r="F309" t="s">
        <v>307</v>
      </c>
      <c r="G309" t="s">
        <v>657</v>
      </c>
      <c r="H309" s="2" t="str">
        <f t="shared" si="40"/>
        <v>PUT</v>
      </c>
      <c r="I309" t="s">
        <v>356</v>
      </c>
      <c r="J309" t="s">
        <v>356</v>
      </c>
      <c r="K309" s="4">
        <v>0.5708333333333333</v>
      </c>
      <c r="L309" s="4">
        <v>0.63888888888888895</v>
      </c>
      <c r="M309" s="11">
        <f t="shared" si="36"/>
        <v>0</v>
      </c>
      <c r="N309" s="11">
        <f t="shared" si="37"/>
        <v>0</v>
      </c>
      <c r="O309" s="11">
        <f t="shared" si="41"/>
        <v>0</v>
      </c>
      <c r="P309" s="11">
        <f t="shared" si="42"/>
        <v>6.8055555555555647E-2</v>
      </c>
      <c r="Q309" s="11"/>
      <c r="R309" s="11"/>
      <c r="S309" s="11"/>
      <c r="T309" s="11"/>
      <c r="U309" s="27">
        <v>1.6</v>
      </c>
      <c r="V309" s="11"/>
      <c r="X309" s="11">
        <f t="shared" si="34"/>
        <v>6.8055555555555647E-2</v>
      </c>
      <c r="Y309" t="s">
        <v>339</v>
      </c>
    </row>
    <row r="310" spans="1:25" outlineLevel="1" x14ac:dyDescent="0.15">
      <c r="A310" s="3">
        <v>37659</v>
      </c>
      <c r="B310" s="3" t="str">
        <f>VLOOKUP(F310, Aircraft!A$2:C$99, 2, FALSE)</f>
        <v>PA34</v>
      </c>
      <c r="C310" t="str">
        <f>VLOOKUP(F310, Aircraft!A$2:C$99, 3, FALSE)</f>
        <v>T</v>
      </c>
      <c r="D310" t="str">
        <f t="shared" si="35"/>
        <v>T</v>
      </c>
      <c r="E310" t="str">
        <f>IF(ISNA(B310), "", B310)</f>
        <v>PA34</v>
      </c>
      <c r="F310" t="s">
        <v>307</v>
      </c>
      <c r="G310" t="s">
        <v>657</v>
      </c>
      <c r="H310" s="2" t="str">
        <f t="shared" si="40"/>
        <v>PUT</v>
      </c>
      <c r="I310" t="s">
        <v>356</v>
      </c>
      <c r="J310" t="s">
        <v>356</v>
      </c>
      <c r="K310" s="4">
        <v>0.44513888888888892</v>
      </c>
      <c r="L310" s="4">
        <v>0.53402777777777777</v>
      </c>
      <c r="M310" s="11">
        <f t="shared" si="36"/>
        <v>0</v>
      </c>
      <c r="N310" s="11">
        <f t="shared" si="37"/>
        <v>0</v>
      </c>
      <c r="O310" s="11">
        <f t="shared" si="41"/>
        <v>0</v>
      </c>
      <c r="P310" s="11">
        <f t="shared" si="42"/>
        <v>8.8888888888888851E-2</v>
      </c>
      <c r="Q310" s="11"/>
      <c r="R310" s="11"/>
      <c r="S310" s="11"/>
      <c r="T310" s="11"/>
      <c r="U310" s="27">
        <v>2.1</v>
      </c>
      <c r="V310" s="11"/>
      <c r="X310" s="11">
        <f t="shared" si="34"/>
        <v>8.8888888888888851E-2</v>
      </c>
      <c r="Y310" t="s">
        <v>340</v>
      </c>
    </row>
    <row r="311" spans="1:25" outlineLevel="1" x14ac:dyDescent="0.15">
      <c r="A311" s="3">
        <v>37659</v>
      </c>
      <c r="B311" s="3" t="str">
        <f>VLOOKUP(F311, Aircraft!A$2:C$99, 2, FALSE)</f>
        <v>PA34</v>
      </c>
      <c r="C311" t="str">
        <f>VLOOKUP(F311, Aircraft!A$2:C$99, 3, FALSE)</f>
        <v>T</v>
      </c>
      <c r="D311" t="str">
        <f t="shared" si="35"/>
        <v>T</v>
      </c>
      <c r="E311" t="str">
        <f>IF(ISNA(B311), "", B311)</f>
        <v>PA34</v>
      </c>
      <c r="F311" t="s">
        <v>307</v>
      </c>
      <c r="G311" t="s">
        <v>657</v>
      </c>
      <c r="H311" s="2" t="str">
        <f t="shared" si="40"/>
        <v>PUT</v>
      </c>
      <c r="I311" t="s">
        <v>356</v>
      </c>
      <c r="J311" t="s">
        <v>356</v>
      </c>
      <c r="K311" s="4">
        <v>0.59375</v>
      </c>
      <c r="L311" s="4">
        <v>0.64583333333333337</v>
      </c>
      <c r="M311" s="11">
        <f t="shared" si="36"/>
        <v>0</v>
      </c>
      <c r="N311" s="11">
        <f t="shared" si="37"/>
        <v>0</v>
      </c>
      <c r="O311" s="11">
        <f t="shared" si="41"/>
        <v>0</v>
      </c>
      <c r="P311" s="11">
        <f t="shared" si="42"/>
        <v>5.208333333333337E-2</v>
      </c>
      <c r="Q311" s="11"/>
      <c r="R311" s="11"/>
      <c r="S311" s="11"/>
      <c r="T311" s="11"/>
      <c r="U311" s="27">
        <v>1.2</v>
      </c>
      <c r="V311" s="11"/>
      <c r="X311" s="11">
        <f t="shared" si="34"/>
        <v>5.208333333333337E-2</v>
      </c>
      <c r="Y311" t="s">
        <v>341</v>
      </c>
    </row>
    <row r="312" spans="1:25" outlineLevel="1" x14ac:dyDescent="0.15">
      <c r="A312" s="3">
        <v>37662</v>
      </c>
      <c r="B312" s="3" t="str">
        <f>VLOOKUP(F312, Aircraft!A$2:C$99, 2, FALSE)</f>
        <v>PA34</v>
      </c>
      <c r="C312" t="str">
        <f>VLOOKUP(F312, Aircraft!A$2:C$99, 3, FALSE)</f>
        <v>T</v>
      </c>
      <c r="D312" t="str">
        <f t="shared" si="35"/>
        <v>T</v>
      </c>
      <c r="E312" t="str">
        <f>IF(ISNA(B312), "", B312)</f>
        <v>PA34</v>
      </c>
      <c r="F312" t="s">
        <v>307</v>
      </c>
      <c r="G312" t="s">
        <v>337</v>
      </c>
      <c r="H312" s="2" t="str">
        <f t="shared" si="40"/>
        <v>PUT</v>
      </c>
      <c r="I312" t="s">
        <v>356</v>
      </c>
      <c r="J312" t="s">
        <v>356</v>
      </c>
      <c r="K312" s="4">
        <v>0.54166666666666663</v>
      </c>
      <c r="L312" s="4">
        <v>0.63541666666666663</v>
      </c>
      <c r="M312" s="11">
        <f t="shared" si="36"/>
        <v>0</v>
      </c>
      <c r="N312" s="11">
        <f t="shared" si="37"/>
        <v>0</v>
      </c>
      <c r="O312" s="11">
        <f t="shared" si="41"/>
        <v>0</v>
      </c>
      <c r="P312" s="11">
        <f t="shared" si="42"/>
        <v>9.375E-2</v>
      </c>
      <c r="Q312" s="11"/>
      <c r="R312" s="11"/>
      <c r="S312" s="11"/>
      <c r="T312" s="11"/>
      <c r="U312" s="27">
        <v>2.2000000000000002</v>
      </c>
      <c r="V312" s="11"/>
      <c r="X312" s="11">
        <f t="shared" si="34"/>
        <v>9.375E-2</v>
      </c>
      <c r="Y312" t="s">
        <v>342</v>
      </c>
    </row>
    <row r="313" spans="1:25" outlineLevel="1" x14ac:dyDescent="0.15">
      <c r="A313" s="3">
        <v>37663</v>
      </c>
      <c r="B313" s="3" t="str">
        <f>VLOOKUP(F313, Aircraft!A$2:C$99, 2, FALSE)</f>
        <v>PA34</v>
      </c>
      <c r="C313" t="str">
        <f>VLOOKUP(F313, Aircraft!A$2:C$99, 3, FALSE)</f>
        <v>T</v>
      </c>
      <c r="D313" t="str">
        <f t="shared" si="35"/>
        <v>T</v>
      </c>
      <c r="E313" t="str">
        <f t="shared" si="33"/>
        <v>PA34</v>
      </c>
      <c r="F313" t="s">
        <v>307</v>
      </c>
      <c r="G313" t="s">
        <v>343</v>
      </c>
      <c r="H313" s="2" t="str">
        <f t="shared" si="40"/>
        <v>PUT</v>
      </c>
      <c r="I313" t="s">
        <v>356</v>
      </c>
      <c r="J313" t="s">
        <v>356</v>
      </c>
      <c r="K313" s="4">
        <v>0.6</v>
      </c>
      <c r="L313" s="4">
        <v>0.70486111111111116</v>
      </c>
      <c r="M313" s="11">
        <f t="shared" si="36"/>
        <v>0</v>
      </c>
      <c r="N313" s="11">
        <f t="shared" si="37"/>
        <v>0</v>
      </c>
      <c r="O313" s="11">
        <f t="shared" si="41"/>
        <v>0</v>
      </c>
      <c r="P313" s="11">
        <f t="shared" si="42"/>
        <v>0.10486111111111118</v>
      </c>
      <c r="Q313" s="11"/>
      <c r="R313" s="11"/>
      <c r="S313" s="11"/>
      <c r="T313" s="11"/>
      <c r="U313" s="27">
        <v>2.2000000000000002</v>
      </c>
      <c r="V313" s="11"/>
      <c r="X313" s="11">
        <f t="shared" si="34"/>
        <v>0.10486111111111118</v>
      </c>
      <c r="Y313" t="s">
        <v>344</v>
      </c>
    </row>
    <row r="314" spans="1:25" outlineLevel="1" x14ac:dyDescent="0.15">
      <c r="A314" s="3">
        <v>37664</v>
      </c>
      <c r="B314" s="3" t="str">
        <f>VLOOKUP(F314, Aircraft!A$2:C$99, 2, FALSE)</f>
        <v>PA34</v>
      </c>
      <c r="C314" t="str">
        <f>VLOOKUP(F314, Aircraft!A$2:C$99, 3, FALSE)</f>
        <v>T</v>
      </c>
      <c r="D314" t="str">
        <f t="shared" si="35"/>
        <v>T</v>
      </c>
      <c r="E314" t="str">
        <f t="shared" si="33"/>
        <v>PA34</v>
      </c>
      <c r="F314" t="s">
        <v>307</v>
      </c>
      <c r="G314" t="s">
        <v>657</v>
      </c>
      <c r="H314" s="2" t="str">
        <f t="shared" si="40"/>
        <v>PUT</v>
      </c>
      <c r="I314" t="s">
        <v>356</v>
      </c>
      <c r="J314" t="s">
        <v>356</v>
      </c>
      <c r="K314" s="4">
        <v>0.41666666666666669</v>
      </c>
      <c r="L314" s="4">
        <v>0.47569444444444442</v>
      </c>
      <c r="M314" s="11">
        <f t="shared" si="36"/>
        <v>0</v>
      </c>
      <c r="N314" s="11">
        <f t="shared" si="37"/>
        <v>0</v>
      </c>
      <c r="O314" s="11">
        <f t="shared" si="41"/>
        <v>0</v>
      </c>
      <c r="P314" s="11">
        <f t="shared" si="42"/>
        <v>5.9027777777777735E-2</v>
      </c>
      <c r="Q314" s="11"/>
      <c r="R314" s="11"/>
      <c r="S314" s="11"/>
      <c r="T314" s="11"/>
      <c r="U314" s="27">
        <v>1.4</v>
      </c>
      <c r="V314" s="11"/>
      <c r="X314" s="11">
        <f t="shared" si="34"/>
        <v>5.9027777777777735E-2</v>
      </c>
      <c r="Y314" t="s">
        <v>345</v>
      </c>
    </row>
    <row r="315" spans="1:25" outlineLevel="1" x14ac:dyDescent="0.15">
      <c r="A315" s="3">
        <v>37665</v>
      </c>
      <c r="B315" s="3" t="str">
        <f>VLOOKUP(F315, Aircraft!A$2:C$99, 2, FALSE)</f>
        <v>PA34</v>
      </c>
      <c r="C315" t="str">
        <f>VLOOKUP(F315, Aircraft!A$2:C$99, 3, FALSE)</f>
        <v>T</v>
      </c>
      <c r="D315" t="str">
        <f t="shared" si="35"/>
        <v>T</v>
      </c>
      <c r="E315" t="str">
        <f t="shared" si="33"/>
        <v>PA34</v>
      </c>
      <c r="F315" t="s">
        <v>307</v>
      </c>
      <c r="G315" t="s">
        <v>191</v>
      </c>
      <c r="H315" s="2" t="str">
        <f t="shared" si="40"/>
        <v>P1</v>
      </c>
      <c r="I315" t="s">
        <v>356</v>
      </c>
      <c r="J315" t="s">
        <v>356</v>
      </c>
      <c r="K315" s="4">
        <v>0.39930555555555558</v>
      </c>
      <c r="L315" s="4">
        <v>0.42708333333333331</v>
      </c>
      <c r="M315" s="11">
        <f t="shared" si="36"/>
        <v>0</v>
      </c>
      <c r="N315" s="11">
        <f t="shared" si="37"/>
        <v>0</v>
      </c>
      <c r="O315" s="11">
        <f t="shared" si="41"/>
        <v>2.7777777777777735E-2</v>
      </c>
      <c r="P315" s="11">
        <f t="shared" si="42"/>
        <v>0</v>
      </c>
      <c r="Q315" s="11"/>
      <c r="R315" s="11"/>
      <c r="S315" s="11"/>
      <c r="T315" s="11"/>
      <c r="U315" s="27">
        <v>0.6</v>
      </c>
      <c r="V315" s="11"/>
      <c r="X315" s="11">
        <f t="shared" si="34"/>
        <v>2.7777777777777735E-2</v>
      </c>
      <c r="Y315" t="s">
        <v>351</v>
      </c>
    </row>
    <row r="316" spans="1:25" outlineLevel="1" x14ac:dyDescent="0.15">
      <c r="A316" s="3">
        <v>37674</v>
      </c>
      <c r="B316" s="3" t="str">
        <f>VLOOKUP(F316, Aircraft!A$2:C$99, 2, FALSE)</f>
        <v>PA34</v>
      </c>
      <c r="C316" t="str">
        <f>VLOOKUP(F316, Aircraft!A$2:C$99, 3, FALSE)</f>
        <v>T</v>
      </c>
      <c r="D316" t="str">
        <f t="shared" si="35"/>
        <v>T</v>
      </c>
      <c r="E316" t="str">
        <f t="shared" si="33"/>
        <v>PA34</v>
      </c>
      <c r="F316" t="s">
        <v>572</v>
      </c>
      <c r="G316" t="s">
        <v>191</v>
      </c>
      <c r="H316" s="2" t="str">
        <f t="shared" si="40"/>
        <v>P1</v>
      </c>
      <c r="I316" t="s">
        <v>250</v>
      </c>
      <c r="J316" t="s">
        <v>19</v>
      </c>
      <c r="K316" s="4">
        <v>0.55000000000000004</v>
      </c>
      <c r="L316" s="4">
        <v>0.59583333333333333</v>
      </c>
      <c r="M316" s="11">
        <f t="shared" si="36"/>
        <v>0</v>
      </c>
      <c r="N316" s="11">
        <f t="shared" si="37"/>
        <v>0</v>
      </c>
      <c r="O316" s="11">
        <f t="shared" si="41"/>
        <v>4.5833333333333282E-2</v>
      </c>
      <c r="P316" s="11">
        <f t="shared" si="42"/>
        <v>0</v>
      </c>
      <c r="Q316" s="11"/>
      <c r="R316" s="11"/>
      <c r="S316" s="11"/>
      <c r="T316" s="11"/>
      <c r="U316" s="27">
        <v>0.4</v>
      </c>
      <c r="V316" s="11"/>
      <c r="X316" s="11">
        <f t="shared" si="34"/>
        <v>4.5833333333333282E-2</v>
      </c>
      <c r="Y316" t="s">
        <v>346</v>
      </c>
    </row>
    <row r="317" spans="1:25" outlineLevel="1" x14ac:dyDescent="0.15">
      <c r="A317" s="3">
        <v>37674</v>
      </c>
      <c r="B317" s="3" t="str">
        <f>VLOOKUP(F317, Aircraft!A$2:C$99, 2, FALSE)</f>
        <v>PA34</v>
      </c>
      <c r="C317" t="str">
        <f>VLOOKUP(F317, Aircraft!A$2:C$99, 3, FALSE)</f>
        <v>T</v>
      </c>
      <c r="D317" t="str">
        <f t="shared" si="35"/>
        <v>T</v>
      </c>
      <c r="E317" t="str">
        <f t="shared" si="33"/>
        <v>PA34</v>
      </c>
      <c r="F317" t="s">
        <v>572</v>
      </c>
      <c r="G317" t="s">
        <v>191</v>
      </c>
      <c r="H317" s="2" t="str">
        <f t="shared" si="40"/>
        <v>P1</v>
      </c>
      <c r="I317" t="s">
        <v>18</v>
      </c>
      <c r="J317" t="s">
        <v>250</v>
      </c>
      <c r="K317" s="4">
        <v>0.69097222222222221</v>
      </c>
      <c r="L317" s="4">
        <v>0.73819444444444438</v>
      </c>
      <c r="M317" s="11">
        <f t="shared" si="36"/>
        <v>0</v>
      </c>
      <c r="N317" s="11">
        <f t="shared" si="37"/>
        <v>0</v>
      </c>
      <c r="O317" s="11">
        <f t="shared" ref="O317:O337" si="44">IF(AND(H317="P1", D317="T"), L317-K317, 0)</f>
        <v>4.7222222222222165E-2</v>
      </c>
      <c r="P317" s="11">
        <f t="shared" ref="P317:P337" si="45">IF(AND(H317="PUT", D317="T"), L317-K317, 0)</f>
        <v>0</v>
      </c>
      <c r="Q317" s="11"/>
      <c r="R317" s="11"/>
      <c r="S317" s="11"/>
      <c r="T317" s="11"/>
      <c r="V317" s="11"/>
      <c r="X317" s="11">
        <f t="shared" si="34"/>
        <v>4.7222222222222165E-2</v>
      </c>
    </row>
    <row r="318" spans="1:25" outlineLevel="1" x14ac:dyDescent="0.15">
      <c r="A318" s="3">
        <v>37681</v>
      </c>
      <c r="B318" s="3" t="str">
        <f>VLOOKUP(F318, Aircraft!A$2:C$99, 2, FALSE)</f>
        <v>PA23</v>
      </c>
      <c r="C318" t="str">
        <f>VLOOKUP(F318, Aircraft!A$2:C$99, 3, FALSE)</f>
        <v>T</v>
      </c>
      <c r="D318" t="str">
        <f t="shared" si="35"/>
        <v>T</v>
      </c>
      <c r="E318" t="str">
        <f t="shared" si="33"/>
        <v>PA23</v>
      </c>
      <c r="F318" t="s">
        <v>347</v>
      </c>
      <c r="G318" t="s">
        <v>191</v>
      </c>
      <c r="H318" s="2" t="str">
        <f t="shared" si="40"/>
        <v>P1</v>
      </c>
      <c r="I318" t="s">
        <v>250</v>
      </c>
      <c r="J318" t="s">
        <v>14</v>
      </c>
      <c r="K318" s="4">
        <v>0.56597222222222221</v>
      </c>
      <c r="L318" s="4">
        <v>0.62152777777777779</v>
      </c>
      <c r="M318" s="11">
        <f t="shared" si="36"/>
        <v>0</v>
      </c>
      <c r="N318" s="11">
        <f t="shared" si="37"/>
        <v>0</v>
      </c>
      <c r="O318" s="11">
        <f t="shared" si="44"/>
        <v>5.555555555555558E-2</v>
      </c>
      <c r="P318" s="11">
        <f t="shared" si="45"/>
        <v>0</v>
      </c>
      <c r="Q318" s="11"/>
      <c r="R318" s="11"/>
      <c r="S318" s="11"/>
      <c r="T318" s="11"/>
      <c r="V318" s="11"/>
      <c r="X318" s="11">
        <f t="shared" si="34"/>
        <v>5.555555555555558E-2</v>
      </c>
      <c r="Y318" t="s">
        <v>349</v>
      </c>
    </row>
    <row r="319" spans="1:25" outlineLevel="1" x14ac:dyDescent="0.15">
      <c r="A319" s="3">
        <v>37681</v>
      </c>
      <c r="B319" s="3" t="str">
        <f>VLOOKUP(F319, Aircraft!A$2:C$99, 2, FALSE)</f>
        <v>PA23</v>
      </c>
      <c r="C319" t="str">
        <f>VLOOKUP(F319, Aircraft!A$2:C$99, 3, FALSE)</f>
        <v>T</v>
      </c>
      <c r="D319" t="str">
        <f t="shared" si="35"/>
        <v>T</v>
      </c>
      <c r="E319" t="str">
        <f t="shared" si="33"/>
        <v>PA23</v>
      </c>
      <c r="F319" t="s">
        <v>347</v>
      </c>
      <c r="G319" t="s">
        <v>191</v>
      </c>
      <c r="H319" s="2" t="str">
        <f t="shared" si="40"/>
        <v>P1</v>
      </c>
      <c r="I319" t="s">
        <v>14</v>
      </c>
      <c r="J319" t="s">
        <v>250</v>
      </c>
      <c r="K319" s="4">
        <v>0.68055555555555547</v>
      </c>
      <c r="L319" s="4">
        <v>0.72222222222222221</v>
      </c>
      <c r="M319" s="11">
        <f t="shared" si="36"/>
        <v>0</v>
      </c>
      <c r="N319" s="11">
        <f t="shared" si="37"/>
        <v>0</v>
      </c>
      <c r="O319" s="11">
        <f t="shared" si="44"/>
        <v>4.1666666666666741E-2</v>
      </c>
      <c r="P319" s="11">
        <f t="shared" si="45"/>
        <v>0</v>
      </c>
      <c r="Q319" s="11"/>
      <c r="R319" s="11"/>
      <c r="S319" s="11"/>
      <c r="T319" s="11"/>
      <c r="U319" s="27">
        <v>0.4</v>
      </c>
      <c r="V319" s="11"/>
      <c r="X319" s="11">
        <f t="shared" si="34"/>
        <v>4.1666666666666741E-2</v>
      </c>
      <c r="Y319" t="s">
        <v>350</v>
      </c>
    </row>
    <row r="320" spans="1:25" outlineLevel="1" x14ac:dyDescent="0.15">
      <c r="A320" s="3">
        <v>37686</v>
      </c>
      <c r="B320" s="3" t="str">
        <f>VLOOKUP(F320, Aircraft!A$2:C$99, 2, FALSE)</f>
        <v>PA34</v>
      </c>
      <c r="C320" t="str">
        <f>VLOOKUP(F320, Aircraft!A$2:C$99, 3, FALSE)</f>
        <v>T</v>
      </c>
      <c r="D320" t="str">
        <f t="shared" si="35"/>
        <v>T</v>
      </c>
      <c r="E320" t="str">
        <f t="shared" si="33"/>
        <v>PA34</v>
      </c>
      <c r="F320" t="s">
        <v>572</v>
      </c>
      <c r="G320" t="s">
        <v>191</v>
      </c>
      <c r="H320" s="2" t="str">
        <f t="shared" si="40"/>
        <v>P1</v>
      </c>
      <c r="I320" t="s">
        <v>250</v>
      </c>
      <c r="J320" t="s">
        <v>70</v>
      </c>
      <c r="K320" s="4">
        <v>0.41319444444444442</v>
      </c>
      <c r="L320" s="4">
        <v>0.53472222222222221</v>
      </c>
      <c r="M320" s="11">
        <f t="shared" si="36"/>
        <v>0</v>
      </c>
      <c r="N320" s="11">
        <f t="shared" si="37"/>
        <v>0</v>
      </c>
      <c r="O320" s="11">
        <f t="shared" si="44"/>
        <v>0.12152777777777779</v>
      </c>
      <c r="P320" s="11">
        <f t="shared" si="45"/>
        <v>0</v>
      </c>
      <c r="Q320" s="11"/>
      <c r="R320" s="11"/>
      <c r="S320" s="11"/>
      <c r="T320" s="11"/>
      <c r="U320" s="27">
        <v>1.2</v>
      </c>
      <c r="V320" s="11"/>
      <c r="X320" s="11">
        <f t="shared" si="34"/>
        <v>0.12152777777777779</v>
      </c>
      <c r="Y320" t="s">
        <v>207</v>
      </c>
    </row>
    <row r="321" spans="1:25" outlineLevel="1" x14ac:dyDescent="0.15">
      <c r="A321" s="3">
        <v>37688</v>
      </c>
      <c r="B321" s="3" t="str">
        <f>VLOOKUP(F321, Aircraft!A$2:C$99, 2, FALSE)</f>
        <v>PA34</v>
      </c>
      <c r="C321" t="str">
        <f>VLOOKUP(F321, Aircraft!A$2:C$99, 3, FALSE)</f>
        <v>T</v>
      </c>
      <c r="D321" t="str">
        <f t="shared" si="35"/>
        <v>T</v>
      </c>
      <c r="E321" t="str">
        <f t="shared" si="33"/>
        <v>PA34</v>
      </c>
      <c r="F321" t="s">
        <v>572</v>
      </c>
      <c r="G321" t="s">
        <v>191</v>
      </c>
      <c r="H321" s="2" t="str">
        <f t="shared" si="40"/>
        <v>P1</v>
      </c>
      <c r="I321" t="s">
        <v>208</v>
      </c>
      <c r="J321" t="s">
        <v>250</v>
      </c>
      <c r="K321" s="4">
        <v>0.55555555555555558</v>
      </c>
      <c r="L321" s="4">
        <v>0.70138888888888884</v>
      </c>
      <c r="M321" s="11">
        <f t="shared" si="36"/>
        <v>0</v>
      </c>
      <c r="N321" s="11">
        <f t="shared" si="37"/>
        <v>0</v>
      </c>
      <c r="O321" s="11">
        <f t="shared" si="44"/>
        <v>0.14583333333333326</v>
      </c>
      <c r="P321" s="11">
        <f t="shared" si="45"/>
        <v>0</v>
      </c>
      <c r="Q321" s="11"/>
      <c r="R321" s="11"/>
      <c r="S321" s="11"/>
      <c r="T321" s="11"/>
      <c r="V321" s="11"/>
      <c r="X321" s="11">
        <f t="shared" si="34"/>
        <v>0.14583333333333326</v>
      </c>
    </row>
    <row r="322" spans="1:25" outlineLevel="1" x14ac:dyDescent="0.15">
      <c r="A322" s="3">
        <v>37702</v>
      </c>
      <c r="B322" s="3" t="str">
        <f>VLOOKUP(F322, Aircraft!A$2:C$99, 2, FALSE)</f>
        <v>PA34</v>
      </c>
      <c r="C322" t="str">
        <f>VLOOKUP(F322, Aircraft!A$2:C$99, 3, FALSE)</f>
        <v>T</v>
      </c>
      <c r="D322" t="str">
        <f t="shared" si="35"/>
        <v>T</v>
      </c>
      <c r="E322" t="str">
        <f t="shared" si="33"/>
        <v>PA34</v>
      </c>
      <c r="F322" t="s">
        <v>572</v>
      </c>
      <c r="G322" t="s">
        <v>191</v>
      </c>
      <c r="H322" s="2" t="str">
        <f t="shared" si="40"/>
        <v>P1</v>
      </c>
      <c r="I322" t="s">
        <v>250</v>
      </c>
      <c r="J322" t="s">
        <v>64</v>
      </c>
      <c r="K322" s="4">
        <v>0.40972222222222227</v>
      </c>
      <c r="L322" s="4">
        <v>0.5</v>
      </c>
      <c r="M322" s="11">
        <f t="shared" si="36"/>
        <v>0</v>
      </c>
      <c r="N322" s="11">
        <f t="shared" si="37"/>
        <v>0</v>
      </c>
      <c r="O322" s="11">
        <f t="shared" si="44"/>
        <v>9.0277777777777735E-2</v>
      </c>
      <c r="P322" s="11">
        <f t="shared" si="45"/>
        <v>0</v>
      </c>
      <c r="Q322" s="11"/>
      <c r="R322" s="11"/>
      <c r="S322" s="11"/>
      <c r="T322" s="11"/>
      <c r="V322" s="11"/>
      <c r="X322" s="11">
        <f t="shared" si="34"/>
        <v>9.0277777777777735E-2</v>
      </c>
      <c r="Y322" t="s">
        <v>209</v>
      </c>
    </row>
    <row r="323" spans="1:25" outlineLevel="1" x14ac:dyDescent="0.15">
      <c r="A323" s="3">
        <v>37703</v>
      </c>
      <c r="B323" s="3" t="str">
        <f>VLOOKUP(F323, Aircraft!A$2:C$99, 2, FALSE)</f>
        <v>PA34</v>
      </c>
      <c r="C323" t="str">
        <f>VLOOKUP(F323, Aircraft!A$2:C$99, 3, FALSE)</f>
        <v>T</v>
      </c>
      <c r="D323" t="str">
        <f t="shared" si="35"/>
        <v>T</v>
      </c>
      <c r="E323" t="str">
        <f t="shared" si="33"/>
        <v>PA34</v>
      </c>
      <c r="F323" t="s">
        <v>572</v>
      </c>
      <c r="G323" t="s">
        <v>191</v>
      </c>
      <c r="H323" s="2" t="str">
        <f t="shared" si="40"/>
        <v>P1</v>
      </c>
      <c r="I323" t="s">
        <v>64</v>
      </c>
      <c r="J323" t="s">
        <v>250</v>
      </c>
      <c r="K323" s="4">
        <v>0.56736111111111109</v>
      </c>
      <c r="L323" s="4">
        <v>0.6791666666666667</v>
      </c>
      <c r="M323" s="11">
        <f t="shared" si="36"/>
        <v>0</v>
      </c>
      <c r="N323" s="11">
        <f t="shared" si="37"/>
        <v>0</v>
      </c>
      <c r="O323" s="11">
        <f t="shared" si="44"/>
        <v>0.1118055555555556</v>
      </c>
      <c r="P323" s="11">
        <f t="shared" si="45"/>
        <v>0</v>
      </c>
      <c r="Q323" s="11"/>
      <c r="R323" s="11"/>
      <c r="S323" s="11"/>
      <c r="T323" s="11"/>
      <c r="V323" s="11"/>
      <c r="X323" s="11">
        <f t="shared" si="34"/>
        <v>0.1118055555555556</v>
      </c>
      <c r="Y323" t="s">
        <v>210</v>
      </c>
    </row>
    <row r="324" spans="1:25" outlineLevel="1" x14ac:dyDescent="0.15">
      <c r="A324" s="3">
        <v>37710</v>
      </c>
      <c r="B324" s="3" t="str">
        <f>VLOOKUP(F324, Aircraft!A$2:C$99, 2, FALSE)</f>
        <v>PA28-235</v>
      </c>
      <c r="C324" t="str">
        <f>VLOOKUP(F324, Aircraft!A$2:C$99, 3, FALSE)</f>
        <v>S</v>
      </c>
      <c r="D324" t="str">
        <f t="shared" si="35"/>
        <v>S</v>
      </c>
      <c r="E324" t="str">
        <f t="shared" si="33"/>
        <v>PA28-235</v>
      </c>
      <c r="F324" t="s">
        <v>490</v>
      </c>
      <c r="G324" t="s">
        <v>191</v>
      </c>
      <c r="H324" s="2" t="str">
        <f t="shared" si="40"/>
        <v>P1</v>
      </c>
      <c r="I324" t="s">
        <v>250</v>
      </c>
      <c r="J324" t="s">
        <v>62</v>
      </c>
      <c r="K324" s="4">
        <v>0.37152777777777773</v>
      </c>
      <c r="L324" s="4">
        <v>0.41319444444444442</v>
      </c>
      <c r="M324" s="11">
        <f t="shared" si="36"/>
        <v>4.1666666666666685E-2</v>
      </c>
      <c r="N324" s="11">
        <f t="shared" si="37"/>
        <v>0</v>
      </c>
      <c r="O324" s="11">
        <f t="shared" si="44"/>
        <v>0</v>
      </c>
      <c r="P324" s="11">
        <f t="shared" si="45"/>
        <v>0</v>
      </c>
      <c r="Q324" s="11"/>
      <c r="R324" s="11"/>
      <c r="S324" s="11"/>
      <c r="T324" s="11"/>
      <c r="V324" s="11"/>
      <c r="X324" s="11">
        <f t="shared" si="34"/>
        <v>4.1666666666666685E-2</v>
      </c>
    </row>
    <row r="325" spans="1:25" outlineLevel="1" x14ac:dyDescent="0.15">
      <c r="A325" s="3">
        <v>37710</v>
      </c>
      <c r="B325" s="3" t="str">
        <f>VLOOKUP(F325, Aircraft!A$2:C$99, 2, FALSE)</f>
        <v>PA28-235</v>
      </c>
      <c r="C325" t="str">
        <f>VLOOKUP(F325, Aircraft!A$2:C$99, 3, FALSE)</f>
        <v>S</v>
      </c>
      <c r="D325" t="str">
        <f t="shared" si="35"/>
        <v>S</v>
      </c>
      <c r="E325" t="str">
        <f t="shared" si="33"/>
        <v>PA28-235</v>
      </c>
      <c r="F325" t="s">
        <v>490</v>
      </c>
      <c r="G325" t="s">
        <v>191</v>
      </c>
      <c r="H325" s="2" t="str">
        <f t="shared" si="40"/>
        <v>P1</v>
      </c>
      <c r="I325" t="s">
        <v>62</v>
      </c>
      <c r="J325" t="s">
        <v>250</v>
      </c>
      <c r="K325" s="4">
        <v>0.65972222222222221</v>
      </c>
      <c r="L325" s="4">
        <v>0.70138888888888884</v>
      </c>
      <c r="M325" s="11">
        <f t="shared" si="36"/>
        <v>4.166666666666663E-2</v>
      </c>
      <c r="N325" s="11">
        <f t="shared" si="37"/>
        <v>0</v>
      </c>
      <c r="O325" s="11">
        <f t="shared" si="44"/>
        <v>0</v>
      </c>
      <c r="P325" s="11">
        <f t="shared" si="45"/>
        <v>0</v>
      </c>
      <c r="Q325" s="11"/>
      <c r="R325" s="11"/>
      <c r="S325" s="11"/>
      <c r="T325" s="11"/>
      <c r="V325" s="11"/>
      <c r="X325" s="11">
        <f t="shared" si="34"/>
        <v>4.166666666666663E-2</v>
      </c>
    </row>
    <row r="326" spans="1:25" outlineLevel="1" x14ac:dyDescent="0.15">
      <c r="A326" s="3">
        <v>37717</v>
      </c>
      <c r="B326" s="3" t="str">
        <f>VLOOKUP(F326, Aircraft!A$2:C$99, 2, FALSE)</f>
        <v>PA34</v>
      </c>
      <c r="C326" t="str">
        <f>VLOOKUP(F326, Aircraft!A$2:C$99, 3, FALSE)</f>
        <v>T</v>
      </c>
      <c r="D326" t="str">
        <f t="shared" si="35"/>
        <v>T</v>
      </c>
      <c r="E326" t="str">
        <f t="shared" si="33"/>
        <v>PA34</v>
      </c>
      <c r="F326" t="s">
        <v>572</v>
      </c>
      <c r="G326" t="s">
        <v>191</v>
      </c>
      <c r="H326" s="2" t="str">
        <f t="shared" si="40"/>
        <v>P1</v>
      </c>
      <c r="I326" t="s">
        <v>250</v>
      </c>
      <c r="J326" t="s">
        <v>140</v>
      </c>
      <c r="K326" s="4">
        <v>0.4375</v>
      </c>
      <c r="L326" s="4">
        <v>0.48333333333333334</v>
      </c>
      <c r="M326" s="11">
        <f t="shared" si="36"/>
        <v>0</v>
      </c>
      <c r="N326" s="11">
        <f t="shared" si="37"/>
        <v>0</v>
      </c>
      <c r="O326" s="11">
        <f t="shared" si="44"/>
        <v>4.5833333333333337E-2</v>
      </c>
      <c r="P326" s="11">
        <f t="shared" si="45"/>
        <v>0</v>
      </c>
      <c r="Q326" s="11"/>
      <c r="R326" s="11"/>
      <c r="S326" s="11"/>
      <c r="T326" s="11"/>
      <c r="U326" s="27">
        <v>0.7</v>
      </c>
      <c r="V326" s="11"/>
      <c r="X326" s="11">
        <f t="shared" si="34"/>
        <v>4.5833333333333337E-2</v>
      </c>
      <c r="Y326" t="s">
        <v>211</v>
      </c>
    </row>
    <row r="327" spans="1:25" outlineLevel="1" x14ac:dyDescent="0.15">
      <c r="A327" s="3">
        <v>37717</v>
      </c>
      <c r="B327" s="3" t="str">
        <f>VLOOKUP(F327, Aircraft!A$2:C$99, 2, FALSE)</f>
        <v>PA34</v>
      </c>
      <c r="C327" t="str">
        <f>VLOOKUP(F327, Aircraft!A$2:C$99, 3, FALSE)</f>
        <v>T</v>
      </c>
      <c r="D327" t="str">
        <f t="shared" si="35"/>
        <v>T</v>
      </c>
      <c r="E327" t="str">
        <f t="shared" si="33"/>
        <v>PA34</v>
      </c>
      <c r="F327" t="s">
        <v>572</v>
      </c>
      <c r="G327" t="s">
        <v>191</v>
      </c>
      <c r="H327" s="2" t="str">
        <f t="shared" si="40"/>
        <v>P1</v>
      </c>
      <c r="I327" t="s">
        <v>140</v>
      </c>
      <c r="J327" t="s">
        <v>142</v>
      </c>
      <c r="K327" s="4">
        <v>0.4993055555555555</v>
      </c>
      <c r="L327" s="4">
        <v>0.52916666666666667</v>
      </c>
      <c r="M327" s="11">
        <f t="shared" si="36"/>
        <v>0</v>
      </c>
      <c r="N327" s="11">
        <f t="shared" si="37"/>
        <v>0</v>
      </c>
      <c r="O327" s="11">
        <f t="shared" si="44"/>
        <v>2.9861111111111172E-2</v>
      </c>
      <c r="P327" s="11">
        <f t="shared" si="45"/>
        <v>0</v>
      </c>
      <c r="Q327" s="11"/>
      <c r="R327" s="11"/>
      <c r="S327" s="11"/>
      <c r="T327" s="11"/>
      <c r="V327" s="11"/>
      <c r="X327" s="11">
        <f t="shared" si="34"/>
        <v>2.9861111111111172E-2</v>
      </c>
    </row>
    <row r="328" spans="1:25" outlineLevel="1" x14ac:dyDescent="0.15">
      <c r="A328" s="3">
        <v>37717</v>
      </c>
      <c r="B328" s="3" t="str">
        <f>VLOOKUP(F328, Aircraft!A$2:C$99, 2, FALSE)</f>
        <v>PA34</v>
      </c>
      <c r="C328" t="str">
        <f>VLOOKUP(F328, Aircraft!A$2:C$99, 3, FALSE)</f>
        <v>T</v>
      </c>
      <c r="D328" t="str">
        <f t="shared" si="35"/>
        <v>T</v>
      </c>
      <c r="E328" t="str">
        <f t="shared" si="33"/>
        <v>PA34</v>
      </c>
      <c r="F328" t="s">
        <v>572</v>
      </c>
      <c r="G328" t="s">
        <v>191</v>
      </c>
      <c r="H328" s="2" t="str">
        <f t="shared" si="40"/>
        <v>P1</v>
      </c>
      <c r="I328" t="s">
        <v>142</v>
      </c>
      <c r="J328" t="s">
        <v>250</v>
      </c>
      <c r="K328" s="4">
        <v>0.67013888888888884</v>
      </c>
      <c r="L328" s="4">
        <v>0.72222222222222221</v>
      </c>
      <c r="M328" s="11">
        <f t="shared" si="36"/>
        <v>0</v>
      </c>
      <c r="N328" s="11">
        <f t="shared" si="37"/>
        <v>0</v>
      </c>
      <c r="O328" s="11">
        <f t="shared" si="44"/>
        <v>5.208333333333337E-2</v>
      </c>
      <c r="P328" s="11">
        <f t="shared" si="45"/>
        <v>0</v>
      </c>
      <c r="Q328" s="11"/>
      <c r="R328" s="11"/>
      <c r="S328" s="11"/>
      <c r="T328" s="11"/>
      <c r="U328" s="27">
        <v>0.4</v>
      </c>
      <c r="V328" s="11"/>
      <c r="X328" s="11">
        <f t="shared" si="34"/>
        <v>5.208333333333337E-2</v>
      </c>
      <c r="Y328" t="s">
        <v>35</v>
      </c>
    </row>
    <row r="329" spans="1:25" outlineLevel="1" x14ac:dyDescent="0.15">
      <c r="A329" s="3">
        <v>37746</v>
      </c>
      <c r="B329" s="3" t="str">
        <f>VLOOKUP(F329, Aircraft!A$2:C$99, 2, FALSE)</f>
        <v>PA28</v>
      </c>
      <c r="C329" t="str">
        <f>VLOOKUP(F329, Aircraft!A$2:C$99, 3, FALSE)</f>
        <v>S</v>
      </c>
      <c r="D329" t="str">
        <f t="shared" si="35"/>
        <v>S</v>
      </c>
      <c r="E329" t="str">
        <f t="shared" si="33"/>
        <v>PA28</v>
      </c>
      <c r="F329" t="s">
        <v>36</v>
      </c>
      <c r="G329" t="s">
        <v>191</v>
      </c>
      <c r="H329" s="2" t="str">
        <f t="shared" si="40"/>
        <v>P1</v>
      </c>
      <c r="I329" t="s">
        <v>250</v>
      </c>
      <c r="J329" t="s">
        <v>250</v>
      </c>
      <c r="M329" s="11">
        <f>50/60/24</f>
        <v>3.4722222222222224E-2</v>
      </c>
      <c r="N329" s="11">
        <f t="shared" si="37"/>
        <v>0</v>
      </c>
      <c r="O329" s="11">
        <f t="shared" si="44"/>
        <v>0</v>
      </c>
      <c r="P329" s="11">
        <f t="shared" si="45"/>
        <v>0</v>
      </c>
      <c r="Q329" s="11"/>
      <c r="R329" s="11"/>
      <c r="S329" s="11"/>
      <c r="T329" s="11"/>
      <c r="V329" s="11"/>
      <c r="X329" s="11">
        <f t="shared" si="34"/>
        <v>3.4722222222222224E-2</v>
      </c>
      <c r="Y329" t="s">
        <v>37</v>
      </c>
    </row>
    <row r="330" spans="1:25" outlineLevel="1" x14ac:dyDescent="0.15">
      <c r="A330" s="3">
        <v>37751</v>
      </c>
      <c r="B330" s="3" t="str">
        <f>VLOOKUP(F330, Aircraft!A$2:C$99, 2, FALSE)</f>
        <v>PA34</v>
      </c>
      <c r="C330" t="str">
        <f>VLOOKUP(F330, Aircraft!A$2:C$99, 3, FALSE)</f>
        <v>T</v>
      </c>
      <c r="D330" t="str">
        <f t="shared" si="35"/>
        <v>T</v>
      </c>
      <c r="E330" t="str">
        <f t="shared" si="33"/>
        <v>PA34</v>
      </c>
      <c r="F330" t="s">
        <v>572</v>
      </c>
      <c r="G330" t="s">
        <v>191</v>
      </c>
      <c r="H330" s="2" t="str">
        <f t="shared" si="40"/>
        <v>P1</v>
      </c>
      <c r="I330" t="s">
        <v>250</v>
      </c>
      <c r="J330" t="s">
        <v>147</v>
      </c>
      <c r="K330" s="4">
        <v>0.43402777777777773</v>
      </c>
      <c r="L330" s="4">
        <v>0.52430555555555558</v>
      </c>
      <c r="M330" s="11">
        <f t="shared" si="36"/>
        <v>0</v>
      </c>
      <c r="N330" s="11">
        <f t="shared" si="37"/>
        <v>0</v>
      </c>
      <c r="O330" s="11">
        <f t="shared" si="44"/>
        <v>9.0277777777777846E-2</v>
      </c>
      <c r="P330" s="11">
        <f t="shared" si="45"/>
        <v>0</v>
      </c>
      <c r="Q330" s="11"/>
      <c r="R330" s="11"/>
      <c r="S330" s="11"/>
      <c r="T330" s="11"/>
      <c r="V330" s="11"/>
      <c r="X330" s="11">
        <f t="shared" si="34"/>
        <v>9.0277777777777846E-2</v>
      </c>
    </row>
    <row r="331" spans="1:25" outlineLevel="1" x14ac:dyDescent="0.15">
      <c r="A331" s="3">
        <v>37752</v>
      </c>
      <c r="B331" s="3" t="str">
        <f>VLOOKUP(F331, Aircraft!A$2:C$99, 2, FALSE)</f>
        <v>PA34</v>
      </c>
      <c r="C331" t="str">
        <f>VLOOKUP(F331, Aircraft!A$2:C$99, 3, FALSE)</f>
        <v>T</v>
      </c>
      <c r="D331" t="str">
        <f t="shared" si="35"/>
        <v>T</v>
      </c>
      <c r="E331" t="str">
        <f t="shared" ref="E331:E395" si="46">IF(ISNA(B331), "", B331)</f>
        <v>PA34</v>
      </c>
      <c r="F331" t="s">
        <v>572</v>
      </c>
      <c r="G331" t="s">
        <v>191</v>
      </c>
      <c r="H331" s="2" t="str">
        <f t="shared" si="40"/>
        <v>P1</v>
      </c>
      <c r="I331" t="s">
        <v>147</v>
      </c>
      <c r="J331" t="s">
        <v>250</v>
      </c>
      <c r="K331" s="4">
        <v>0.37152777777777773</v>
      </c>
      <c r="L331" s="4">
        <v>0.46527777777777773</v>
      </c>
      <c r="M331" s="11">
        <f t="shared" si="36"/>
        <v>0</v>
      </c>
      <c r="N331" s="11">
        <f t="shared" si="37"/>
        <v>0</v>
      </c>
      <c r="O331" s="11">
        <f t="shared" si="44"/>
        <v>9.375E-2</v>
      </c>
      <c r="P331" s="11">
        <f t="shared" si="45"/>
        <v>0</v>
      </c>
      <c r="Q331" s="11"/>
      <c r="R331" s="11"/>
      <c r="S331" s="11"/>
      <c r="T331" s="11"/>
      <c r="U331" s="27">
        <v>1</v>
      </c>
      <c r="V331" s="11"/>
      <c r="X331" s="11">
        <f t="shared" si="34"/>
        <v>9.375E-2</v>
      </c>
      <c r="Y331" t="s">
        <v>40</v>
      </c>
    </row>
    <row r="332" spans="1:25" outlineLevel="1" x14ac:dyDescent="0.15">
      <c r="A332" s="3">
        <v>37765</v>
      </c>
      <c r="B332" s="3" t="str">
        <f>VLOOKUP(F332, Aircraft!A$2:C$99, 2, FALSE)</f>
        <v>DHC-1</v>
      </c>
      <c r="C332" t="str">
        <f>VLOOKUP(F332, Aircraft!A$2:C$99, 3, FALSE)</f>
        <v>S</v>
      </c>
      <c r="D332" t="str">
        <f t="shared" si="35"/>
        <v>S</v>
      </c>
      <c r="E332" t="str">
        <f t="shared" si="46"/>
        <v>DHC-1</v>
      </c>
      <c r="F332" t="s">
        <v>38</v>
      </c>
      <c r="G332" t="s">
        <v>39</v>
      </c>
      <c r="H332" s="2" t="str">
        <f t="shared" si="40"/>
        <v>PUT</v>
      </c>
      <c r="I332" t="s">
        <v>250</v>
      </c>
      <c r="J332" t="s">
        <v>250</v>
      </c>
      <c r="K332" s="4">
        <v>0.64236111111111105</v>
      </c>
      <c r="L332" s="4">
        <v>0.69097222222222221</v>
      </c>
      <c r="M332" s="11">
        <f t="shared" si="36"/>
        <v>0</v>
      </c>
      <c r="N332" s="11">
        <f t="shared" si="37"/>
        <v>4.861111111111116E-2</v>
      </c>
      <c r="O332" s="11">
        <f t="shared" si="44"/>
        <v>0</v>
      </c>
      <c r="P332" s="11">
        <f t="shared" si="45"/>
        <v>0</v>
      </c>
      <c r="Q332" s="11"/>
      <c r="R332" s="11"/>
      <c r="S332" s="11"/>
      <c r="T332" s="11"/>
      <c r="V332" s="11"/>
      <c r="X332" s="11">
        <f t="shared" si="34"/>
        <v>4.861111111111116E-2</v>
      </c>
    </row>
    <row r="333" spans="1:25" outlineLevel="1" x14ac:dyDescent="0.15">
      <c r="A333" s="3">
        <v>37766</v>
      </c>
      <c r="B333" s="3" t="str">
        <f>VLOOKUP(F333, Aircraft!A$2:C$99, 2, FALSE)</f>
        <v>PA28</v>
      </c>
      <c r="C333" t="str">
        <f>VLOOKUP(F333, Aircraft!A$2:C$99, 3, FALSE)</f>
        <v>S</v>
      </c>
      <c r="D333" t="str">
        <f t="shared" si="35"/>
        <v>S</v>
      </c>
      <c r="E333" t="str">
        <f t="shared" si="46"/>
        <v>PA28</v>
      </c>
      <c r="F333" t="s">
        <v>265</v>
      </c>
      <c r="G333" t="s">
        <v>191</v>
      </c>
      <c r="H333" s="2" t="str">
        <f t="shared" si="40"/>
        <v>P1</v>
      </c>
      <c r="I333" t="s">
        <v>1</v>
      </c>
      <c r="J333" t="s">
        <v>250</v>
      </c>
      <c r="K333" s="4">
        <v>0.63888888888888895</v>
      </c>
      <c r="L333" s="4">
        <v>0.70277777777777783</v>
      </c>
      <c r="M333" s="11">
        <f t="shared" si="36"/>
        <v>6.3888888888888884E-2</v>
      </c>
      <c r="N333" s="11">
        <f t="shared" si="37"/>
        <v>0</v>
      </c>
      <c r="O333" s="11">
        <f t="shared" si="44"/>
        <v>0</v>
      </c>
      <c r="P333" s="11">
        <f t="shared" si="45"/>
        <v>0</v>
      </c>
      <c r="Q333" s="11"/>
      <c r="R333" s="11"/>
      <c r="S333" s="11"/>
      <c r="T333" s="11"/>
      <c r="V333" s="11"/>
      <c r="X333" s="11">
        <f t="shared" ref="X333:X397" si="47">SUM(M333:S333)</f>
        <v>6.3888888888888884E-2</v>
      </c>
    </row>
    <row r="334" spans="1:25" outlineLevel="1" x14ac:dyDescent="0.15">
      <c r="A334" s="3">
        <v>37771</v>
      </c>
      <c r="B334" s="3" t="str">
        <f>VLOOKUP(F334, Aircraft!A$2:C$99, 2, FALSE)</f>
        <v>DHC-1</v>
      </c>
      <c r="C334" t="str">
        <f>VLOOKUP(F334, Aircraft!A$2:C$99, 3, FALSE)</f>
        <v>S</v>
      </c>
      <c r="D334" t="str">
        <f t="shared" si="35"/>
        <v>S</v>
      </c>
      <c r="E334" t="str">
        <f t="shared" si="46"/>
        <v>DHC-1</v>
      </c>
      <c r="F334" t="s">
        <v>38</v>
      </c>
      <c r="G334" t="s">
        <v>41</v>
      </c>
      <c r="H334" s="2" t="str">
        <f t="shared" si="40"/>
        <v>PUT</v>
      </c>
      <c r="I334" t="s">
        <v>250</v>
      </c>
      <c r="J334" t="s">
        <v>250</v>
      </c>
      <c r="K334" s="4">
        <v>0.63194444444444442</v>
      </c>
      <c r="L334" s="4">
        <v>0.64930555555555558</v>
      </c>
      <c r="M334" s="11">
        <f t="shared" si="36"/>
        <v>0</v>
      </c>
      <c r="N334" s="11">
        <f t="shared" si="37"/>
        <v>1.736111111111116E-2</v>
      </c>
      <c r="O334" s="11">
        <f t="shared" si="44"/>
        <v>0</v>
      </c>
      <c r="P334" s="11">
        <f t="shared" si="45"/>
        <v>0</v>
      </c>
      <c r="Q334" s="11"/>
      <c r="R334" s="11"/>
      <c r="S334" s="11"/>
      <c r="T334" s="11"/>
      <c r="V334" s="11"/>
      <c r="X334" s="11">
        <f t="shared" si="47"/>
        <v>1.736111111111116E-2</v>
      </c>
      <c r="Y334" t="s">
        <v>42</v>
      </c>
    </row>
    <row r="335" spans="1:25" outlineLevel="1" x14ac:dyDescent="0.15">
      <c r="A335" s="3">
        <v>37773</v>
      </c>
      <c r="B335" s="3" t="str">
        <f>VLOOKUP(F335, Aircraft!A$2:C$99, 2, FALSE)</f>
        <v>DHC-1</v>
      </c>
      <c r="C335" t="str">
        <f>VLOOKUP(F335, Aircraft!A$2:C$99, 3, FALSE)</f>
        <v>S</v>
      </c>
      <c r="D335" t="str">
        <f t="shared" si="35"/>
        <v>S</v>
      </c>
      <c r="E335" t="str">
        <f t="shared" si="46"/>
        <v>DHC-1</v>
      </c>
      <c r="F335" t="s">
        <v>38</v>
      </c>
      <c r="G335" t="s">
        <v>41</v>
      </c>
      <c r="H335" s="2" t="str">
        <f t="shared" si="40"/>
        <v>PUT</v>
      </c>
      <c r="I335" t="s">
        <v>250</v>
      </c>
      <c r="J335" t="s">
        <v>549</v>
      </c>
      <c r="K335" s="4">
        <v>0.37847222222222227</v>
      </c>
      <c r="L335" s="4">
        <v>0.42708333333333331</v>
      </c>
      <c r="M335" s="11">
        <f t="shared" si="36"/>
        <v>0</v>
      </c>
      <c r="N335" s="11">
        <f t="shared" si="37"/>
        <v>4.8611111111111049E-2</v>
      </c>
      <c r="O335" s="11">
        <f t="shared" si="44"/>
        <v>0</v>
      </c>
      <c r="P335" s="11">
        <f t="shared" si="45"/>
        <v>0</v>
      </c>
      <c r="Q335" s="11"/>
      <c r="R335" s="11"/>
      <c r="S335" s="11"/>
      <c r="T335" s="11"/>
      <c r="V335" s="11"/>
      <c r="X335" s="11">
        <f t="shared" si="47"/>
        <v>4.8611111111111049E-2</v>
      </c>
      <c r="Y335" t="s">
        <v>43</v>
      </c>
    </row>
    <row r="336" spans="1:25" outlineLevel="1" x14ac:dyDescent="0.15">
      <c r="A336" s="3">
        <v>37773</v>
      </c>
      <c r="B336" s="3" t="str">
        <f>VLOOKUP(F336, Aircraft!A$2:C$99, 2, FALSE)</f>
        <v>DHC-1</v>
      </c>
      <c r="C336" t="str">
        <f>VLOOKUP(F336, Aircraft!A$2:C$99, 3, FALSE)</f>
        <v>S</v>
      </c>
      <c r="D336" t="str">
        <f t="shared" si="35"/>
        <v>S</v>
      </c>
      <c r="E336" t="str">
        <f t="shared" si="46"/>
        <v>DHC-1</v>
      </c>
      <c r="F336" t="s">
        <v>38</v>
      </c>
      <c r="G336" t="s">
        <v>41</v>
      </c>
      <c r="H336" s="2" t="str">
        <f t="shared" si="40"/>
        <v>PUT</v>
      </c>
      <c r="I336" t="s">
        <v>549</v>
      </c>
      <c r="J336" t="s">
        <v>250</v>
      </c>
      <c r="K336" s="4">
        <v>0.45833333333333331</v>
      </c>
      <c r="L336" s="4">
        <v>0.47916666666666669</v>
      </c>
      <c r="M336" s="11">
        <f t="shared" si="36"/>
        <v>0</v>
      </c>
      <c r="N336" s="11">
        <f t="shared" si="37"/>
        <v>2.083333333333337E-2</v>
      </c>
      <c r="O336" s="11">
        <f t="shared" si="44"/>
        <v>0</v>
      </c>
      <c r="P336" s="11">
        <f t="shared" si="45"/>
        <v>0</v>
      </c>
      <c r="Q336" s="11"/>
      <c r="R336" s="11"/>
      <c r="S336" s="11"/>
      <c r="T336" s="11"/>
      <c r="V336" s="11"/>
      <c r="X336" s="11">
        <f t="shared" si="47"/>
        <v>2.083333333333337E-2</v>
      </c>
      <c r="Y336" t="s">
        <v>44</v>
      </c>
    </row>
    <row r="337" spans="1:25" outlineLevel="1" x14ac:dyDescent="0.15">
      <c r="A337" s="3">
        <v>37780</v>
      </c>
      <c r="B337" s="3" t="str">
        <f>VLOOKUP(F337, Aircraft!A$2:C$99, 2, FALSE)</f>
        <v>PA34</v>
      </c>
      <c r="C337" t="str">
        <f>VLOOKUP(F337, Aircraft!A$2:C$99, 3, FALSE)</f>
        <v>T</v>
      </c>
      <c r="D337" t="str">
        <f t="shared" si="35"/>
        <v>T</v>
      </c>
      <c r="E337" t="str">
        <f t="shared" si="46"/>
        <v>PA34</v>
      </c>
      <c r="F337" t="s">
        <v>572</v>
      </c>
      <c r="G337" t="s">
        <v>191</v>
      </c>
      <c r="H337" s="2" t="str">
        <f t="shared" si="40"/>
        <v>P1</v>
      </c>
      <c r="I337" t="s">
        <v>250</v>
      </c>
      <c r="J337" t="s">
        <v>20</v>
      </c>
      <c r="K337" s="4">
        <v>0.44861111111111113</v>
      </c>
      <c r="L337" s="4">
        <v>0.49305555555555558</v>
      </c>
      <c r="M337" s="11">
        <f t="shared" si="36"/>
        <v>0</v>
      </c>
      <c r="N337" s="11">
        <f t="shared" si="37"/>
        <v>0</v>
      </c>
      <c r="O337" s="11">
        <f t="shared" si="44"/>
        <v>4.4444444444444453E-2</v>
      </c>
      <c r="P337" s="11">
        <f t="shared" si="45"/>
        <v>0</v>
      </c>
      <c r="Q337" s="11"/>
      <c r="R337" s="11"/>
      <c r="S337" s="11"/>
      <c r="T337" s="11"/>
      <c r="V337" s="11"/>
      <c r="X337" s="11">
        <f t="shared" si="47"/>
        <v>4.4444444444444453E-2</v>
      </c>
      <c r="Y337" t="s">
        <v>45</v>
      </c>
    </row>
    <row r="338" spans="1:25" outlineLevel="1" x14ac:dyDescent="0.15">
      <c r="A338" s="3">
        <v>37780</v>
      </c>
      <c r="B338" s="3" t="str">
        <f>VLOOKUP(F338, Aircraft!A$2:C$99, 2, FALSE)</f>
        <v>PA34</v>
      </c>
      <c r="C338" t="str">
        <f>VLOOKUP(F338, Aircraft!A$2:C$99, 3, FALSE)</f>
        <v>T</v>
      </c>
      <c r="D338" t="str">
        <f t="shared" ref="D338:D402" si="48">IF(ISNA(C338), "", C338)</f>
        <v>T</v>
      </c>
      <c r="E338" t="str">
        <f t="shared" si="46"/>
        <v>PA34</v>
      </c>
      <c r="F338" t="s">
        <v>572</v>
      </c>
      <c r="G338" t="s">
        <v>191</v>
      </c>
      <c r="H338" s="2" t="str">
        <f t="shared" si="40"/>
        <v>P1</v>
      </c>
      <c r="I338" t="s">
        <v>20</v>
      </c>
      <c r="J338" t="s">
        <v>250</v>
      </c>
      <c r="K338" s="4">
        <v>0.68263888888888891</v>
      </c>
      <c r="L338" s="4">
        <v>0.71875</v>
      </c>
      <c r="M338" s="11">
        <f t="shared" ref="M338:M402" si="49">IF(AND(H338="P1", D338="S"), L338-K338, 0)</f>
        <v>0</v>
      </c>
      <c r="N338" s="11">
        <f t="shared" ref="N338:N402" si="50">IF(AND(H338="PUT", D338="S"), L338-K338, 0)</f>
        <v>0</v>
      </c>
      <c r="O338" s="11">
        <f t="shared" ref="O338:O446" si="51">IF(AND(H338="P1", D338="T"), L338-K338, 0)</f>
        <v>3.6111111111111094E-2</v>
      </c>
      <c r="P338" s="11">
        <f t="shared" ref="P338:P402" si="52">IF(AND(H338="PUT", D338="T"), L338-K338, 0)</f>
        <v>0</v>
      </c>
      <c r="Q338" s="11"/>
      <c r="R338" s="11"/>
      <c r="S338" s="11"/>
      <c r="T338" s="11"/>
      <c r="V338" s="11"/>
      <c r="X338" s="11">
        <f t="shared" si="47"/>
        <v>3.6111111111111094E-2</v>
      </c>
    </row>
    <row r="339" spans="1:25" outlineLevel="1" x14ac:dyDescent="0.15">
      <c r="A339" s="3">
        <v>37786</v>
      </c>
      <c r="B339" s="3" t="str">
        <f>VLOOKUP(F339, Aircraft!A$2:C$99, 2, FALSE)</f>
        <v>DHC-1</v>
      </c>
      <c r="C339" t="str">
        <f>VLOOKUP(F339, Aircraft!A$2:C$99, 3, FALSE)</f>
        <v>S</v>
      </c>
      <c r="D339" t="str">
        <f t="shared" si="48"/>
        <v>S</v>
      </c>
      <c r="E339" t="str">
        <f t="shared" si="46"/>
        <v>DHC-1</v>
      </c>
      <c r="F339" t="s">
        <v>38</v>
      </c>
      <c r="G339" t="s">
        <v>41</v>
      </c>
      <c r="H339" s="2" t="str">
        <f t="shared" si="40"/>
        <v>PUT</v>
      </c>
      <c r="I339" t="s">
        <v>250</v>
      </c>
      <c r="J339" t="s">
        <v>549</v>
      </c>
      <c r="K339" s="4">
        <v>0.60416666666666663</v>
      </c>
      <c r="L339" s="4">
        <v>0.67013888888888884</v>
      </c>
      <c r="M339" s="11">
        <f t="shared" si="49"/>
        <v>0</v>
      </c>
      <c r="N339" s="11">
        <f t="shared" si="50"/>
        <v>6.597222222222221E-2</v>
      </c>
      <c r="O339" s="11">
        <f t="shared" si="51"/>
        <v>0</v>
      </c>
      <c r="P339" s="11">
        <f t="shared" si="52"/>
        <v>0</v>
      </c>
      <c r="Q339" s="11"/>
      <c r="R339" s="11"/>
      <c r="S339" s="11"/>
      <c r="T339" s="11"/>
      <c r="V339" s="11"/>
      <c r="X339" s="11">
        <f t="shared" si="47"/>
        <v>6.597222222222221E-2</v>
      </c>
      <c r="Y339" t="s">
        <v>46</v>
      </c>
    </row>
    <row r="340" spans="1:25" outlineLevel="1" x14ac:dyDescent="0.15">
      <c r="A340" s="3">
        <v>37786</v>
      </c>
      <c r="B340" s="3" t="str">
        <f>VLOOKUP(F340, Aircraft!A$2:C$99, 2, FALSE)</f>
        <v>DHC-1</v>
      </c>
      <c r="C340" t="str">
        <f>VLOOKUP(F340, Aircraft!A$2:C$99, 3, FALSE)</f>
        <v>S</v>
      </c>
      <c r="D340" t="str">
        <f t="shared" si="48"/>
        <v>S</v>
      </c>
      <c r="E340" t="str">
        <f t="shared" si="46"/>
        <v>DHC-1</v>
      </c>
      <c r="F340" t="s">
        <v>38</v>
      </c>
      <c r="G340" t="s">
        <v>41</v>
      </c>
      <c r="H340" s="2" t="str">
        <f t="shared" ref="H340:H404" si="53">IF(UPPER(G340)&lt;&gt;"SELF",IF(G340&lt;&gt;"", "PUT", ""),"P1")</f>
        <v>PUT</v>
      </c>
      <c r="I340" t="s">
        <v>549</v>
      </c>
      <c r="J340" t="s">
        <v>250</v>
      </c>
      <c r="K340" s="4">
        <v>0.6875</v>
      </c>
      <c r="L340" s="4">
        <v>0.70486111111111116</v>
      </c>
      <c r="M340" s="11">
        <f t="shared" si="49"/>
        <v>0</v>
      </c>
      <c r="N340" s="11">
        <f t="shared" si="50"/>
        <v>1.736111111111116E-2</v>
      </c>
      <c r="O340" s="11">
        <f t="shared" si="51"/>
        <v>0</v>
      </c>
      <c r="P340" s="11">
        <f t="shared" si="52"/>
        <v>0</v>
      </c>
      <c r="Q340" s="11"/>
      <c r="R340" s="11"/>
      <c r="S340" s="11"/>
      <c r="T340" s="11"/>
      <c r="V340" s="11"/>
      <c r="X340" s="11">
        <f t="shared" si="47"/>
        <v>1.736111111111116E-2</v>
      </c>
    </row>
    <row r="341" spans="1:25" outlineLevel="1" x14ac:dyDescent="0.15">
      <c r="A341" s="3">
        <v>37787</v>
      </c>
      <c r="B341" s="3" t="str">
        <f>VLOOKUP(F341, Aircraft!A$2:C$99, 2, FALSE)</f>
        <v>DHC-1</v>
      </c>
      <c r="C341" t="str">
        <f>VLOOKUP(F341, Aircraft!A$2:C$99, 3, FALSE)</f>
        <v>S</v>
      </c>
      <c r="D341" t="str">
        <f t="shared" si="48"/>
        <v>S</v>
      </c>
      <c r="E341" t="str">
        <f t="shared" si="46"/>
        <v>DHC-1</v>
      </c>
      <c r="F341" t="s">
        <v>38</v>
      </c>
      <c r="G341" t="s">
        <v>41</v>
      </c>
      <c r="H341" s="2" t="str">
        <f t="shared" si="53"/>
        <v>PUT</v>
      </c>
      <c r="I341" t="s">
        <v>250</v>
      </c>
      <c r="J341" t="s">
        <v>549</v>
      </c>
      <c r="K341" s="4">
        <v>0.46875</v>
      </c>
      <c r="L341" s="4">
        <v>0.5</v>
      </c>
      <c r="M341" s="11">
        <f t="shared" si="49"/>
        <v>0</v>
      </c>
      <c r="N341" s="11">
        <f t="shared" si="50"/>
        <v>3.125E-2</v>
      </c>
      <c r="O341" s="11">
        <f t="shared" si="51"/>
        <v>0</v>
      </c>
      <c r="P341" s="11">
        <f t="shared" si="52"/>
        <v>0</v>
      </c>
      <c r="Q341" s="11"/>
      <c r="R341" s="11"/>
      <c r="S341" s="11"/>
      <c r="T341" s="11"/>
      <c r="V341" s="11"/>
      <c r="X341" s="11">
        <f t="shared" si="47"/>
        <v>3.125E-2</v>
      </c>
      <c r="Y341" t="s">
        <v>47</v>
      </c>
    </row>
    <row r="342" spans="1:25" outlineLevel="1" x14ac:dyDescent="0.15">
      <c r="A342" s="3">
        <v>37787</v>
      </c>
      <c r="B342" s="3" t="str">
        <f>VLOOKUP(F342, Aircraft!A$2:C$99, 2, FALSE)</f>
        <v>DHC-1</v>
      </c>
      <c r="C342" t="str">
        <f>VLOOKUP(F342, Aircraft!A$2:C$99, 3, FALSE)</f>
        <v>S</v>
      </c>
      <c r="D342" t="str">
        <f t="shared" si="48"/>
        <v>S</v>
      </c>
      <c r="E342" t="str">
        <f t="shared" si="46"/>
        <v>DHC-1</v>
      </c>
      <c r="F342" t="s">
        <v>38</v>
      </c>
      <c r="G342" t="s">
        <v>41</v>
      </c>
      <c r="H342" s="2" t="str">
        <f t="shared" si="53"/>
        <v>PUT</v>
      </c>
      <c r="I342" t="s">
        <v>549</v>
      </c>
      <c r="J342" t="s">
        <v>250</v>
      </c>
      <c r="K342" s="4">
        <v>0.52083333333333337</v>
      </c>
      <c r="L342" s="4">
        <v>0.54861111111111105</v>
      </c>
      <c r="M342" s="11">
        <f t="shared" si="49"/>
        <v>0</v>
      </c>
      <c r="N342" s="11">
        <f t="shared" si="50"/>
        <v>2.7777777777777679E-2</v>
      </c>
      <c r="O342" s="11">
        <f t="shared" si="51"/>
        <v>0</v>
      </c>
      <c r="P342" s="11">
        <f t="shared" si="52"/>
        <v>0</v>
      </c>
      <c r="Q342" s="11"/>
      <c r="R342" s="11"/>
      <c r="S342" s="11"/>
      <c r="T342" s="11"/>
      <c r="V342" s="11"/>
      <c r="X342" s="11">
        <f t="shared" si="47"/>
        <v>2.7777777777777679E-2</v>
      </c>
      <c r="Y342" t="s">
        <v>47</v>
      </c>
    </row>
    <row r="343" spans="1:25" outlineLevel="1" x14ac:dyDescent="0.15">
      <c r="A343" s="3">
        <v>37793</v>
      </c>
      <c r="B343" s="3" t="str">
        <f>VLOOKUP(F343, Aircraft!A$2:C$99, 2, FALSE)</f>
        <v>DHC-1</v>
      </c>
      <c r="C343" t="str">
        <f>VLOOKUP(F343, Aircraft!A$2:C$99, 3, FALSE)</f>
        <v>S</v>
      </c>
      <c r="D343" t="str">
        <f t="shared" si="48"/>
        <v>S</v>
      </c>
      <c r="E343" t="str">
        <f t="shared" si="46"/>
        <v>DHC-1</v>
      </c>
      <c r="F343" t="s">
        <v>38</v>
      </c>
      <c r="G343" t="s">
        <v>41</v>
      </c>
      <c r="H343" s="2" t="str">
        <f t="shared" si="53"/>
        <v>PUT</v>
      </c>
      <c r="I343" t="s">
        <v>250</v>
      </c>
      <c r="J343" t="s">
        <v>549</v>
      </c>
      <c r="K343" s="4">
        <v>0.52777777777777779</v>
      </c>
      <c r="L343" s="4">
        <v>0.58333333333333337</v>
      </c>
      <c r="M343" s="11">
        <f t="shared" si="49"/>
        <v>0</v>
      </c>
      <c r="N343" s="11">
        <f t="shared" si="50"/>
        <v>5.555555555555558E-2</v>
      </c>
      <c r="O343" s="11">
        <f t="shared" si="51"/>
        <v>0</v>
      </c>
      <c r="P343" s="11">
        <f t="shared" si="52"/>
        <v>0</v>
      </c>
      <c r="Q343" s="11"/>
      <c r="R343" s="11"/>
      <c r="S343" s="11"/>
      <c r="T343" s="11"/>
      <c r="V343" s="11"/>
      <c r="X343" s="11">
        <f t="shared" si="47"/>
        <v>5.555555555555558E-2</v>
      </c>
      <c r="Y343" t="s">
        <v>48</v>
      </c>
    </row>
    <row r="344" spans="1:25" outlineLevel="1" x14ac:dyDescent="0.15">
      <c r="A344" s="3">
        <v>37793</v>
      </c>
      <c r="B344" s="3" t="str">
        <f>VLOOKUP(F344, Aircraft!A$2:C$99, 2, FALSE)</f>
        <v>DHC-1</v>
      </c>
      <c r="C344" t="str">
        <f>VLOOKUP(F344, Aircraft!A$2:C$99, 3, FALSE)</f>
        <v>S</v>
      </c>
      <c r="D344" t="str">
        <f t="shared" si="48"/>
        <v>S</v>
      </c>
      <c r="E344" t="str">
        <f t="shared" si="46"/>
        <v>DHC-1</v>
      </c>
      <c r="F344" t="s">
        <v>38</v>
      </c>
      <c r="G344" t="s">
        <v>41</v>
      </c>
      <c r="H344" s="2" t="str">
        <f t="shared" si="53"/>
        <v>PUT</v>
      </c>
      <c r="I344" t="s">
        <v>549</v>
      </c>
      <c r="J344" t="s">
        <v>250</v>
      </c>
      <c r="K344" s="4">
        <v>0.60763888888888895</v>
      </c>
      <c r="L344" s="4">
        <v>0.63194444444444442</v>
      </c>
      <c r="M344" s="11">
        <f t="shared" si="49"/>
        <v>0</v>
      </c>
      <c r="N344" s="11">
        <f t="shared" si="50"/>
        <v>2.4305555555555469E-2</v>
      </c>
      <c r="O344" s="11">
        <f t="shared" si="51"/>
        <v>0</v>
      </c>
      <c r="P344" s="11">
        <f t="shared" si="52"/>
        <v>0</v>
      </c>
      <c r="Q344" s="11"/>
      <c r="R344" s="11"/>
      <c r="S344" s="11"/>
      <c r="T344" s="11"/>
      <c r="V344" s="11"/>
      <c r="X344" s="11">
        <f t="shared" si="47"/>
        <v>2.4305555555555469E-2</v>
      </c>
    </row>
    <row r="345" spans="1:25" outlineLevel="1" x14ac:dyDescent="0.15">
      <c r="A345" s="3">
        <v>37794</v>
      </c>
      <c r="B345" s="3" t="str">
        <f>VLOOKUP(F345, Aircraft!A$2:C$99, 2, FALSE)</f>
        <v>DHC-1</v>
      </c>
      <c r="C345" t="str">
        <f>VLOOKUP(F345, Aircraft!A$2:C$99, 3, FALSE)</f>
        <v>S</v>
      </c>
      <c r="D345" t="str">
        <f t="shared" si="48"/>
        <v>S</v>
      </c>
      <c r="E345" t="str">
        <f t="shared" si="46"/>
        <v>DHC-1</v>
      </c>
      <c r="F345" t="s">
        <v>38</v>
      </c>
      <c r="G345" t="s">
        <v>41</v>
      </c>
      <c r="H345" s="2" t="str">
        <f t="shared" si="53"/>
        <v>PUT</v>
      </c>
      <c r="I345" t="s">
        <v>250</v>
      </c>
      <c r="J345" t="s">
        <v>549</v>
      </c>
      <c r="K345" s="4">
        <v>0.4861111111111111</v>
      </c>
      <c r="L345" s="4">
        <v>0.53819444444444442</v>
      </c>
      <c r="M345" s="11">
        <f t="shared" si="49"/>
        <v>0</v>
      </c>
      <c r="N345" s="11">
        <f t="shared" si="50"/>
        <v>5.2083333333333315E-2</v>
      </c>
      <c r="O345" s="11">
        <f t="shared" si="51"/>
        <v>0</v>
      </c>
      <c r="P345" s="11">
        <f t="shared" si="52"/>
        <v>0</v>
      </c>
      <c r="Q345" s="11"/>
      <c r="R345" s="11"/>
      <c r="S345" s="11"/>
      <c r="T345" s="11"/>
      <c r="V345" s="11"/>
      <c r="X345" s="11">
        <f t="shared" si="47"/>
        <v>5.2083333333333315E-2</v>
      </c>
      <c r="Y345" t="s">
        <v>513</v>
      </c>
    </row>
    <row r="346" spans="1:25" outlineLevel="1" x14ac:dyDescent="0.15">
      <c r="A346" s="3">
        <v>37794</v>
      </c>
      <c r="B346" s="3" t="str">
        <f>VLOOKUP(F346, Aircraft!A$2:C$99, 2, FALSE)</f>
        <v>DHC-1</v>
      </c>
      <c r="C346" t="str">
        <f>VLOOKUP(F346, Aircraft!A$2:C$99, 3, FALSE)</f>
        <v>S</v>
      </c>
      <c r="D346" t="str">
        <f t="shared" si="48"/>
        <v>S</v>
      </c>
      <c r="E346" t="str">
        <f t="shared" si="46"/>
        <v>DHC-1</v>
      </c>
      <c r="F346" t="s">
        <v>38</v>
      </c>
      <c r="G346" t="s">
        <v>41</v>
      </c>
      <c r="H346" s="2" t="str">
        <f t="shared" si="53"/>
        <v>PUT</v>
      </c>
      <c r="I346" t="s">
        <v>549</v>
      </c>
      <c r="J346" t="s">
        <v>250</v>
      </c>
      <c r="K346" s="4">
        <v>0.57291666666666663</v>
      </c>
      <c r="L346" s="4">
        <v>0.59027777777777779</v>
      </c>
      <c r="M346" s="11">
        <f t="shared" si="49"/>
        <v>0</v>
      </c>
      <c r="N346" s="11">
        <f t="shared" si="50"/>
        <v>1.736111111111116E-2</v>
      </c>
      <c r="O346" s="11">
        <f t="shared" si="51"/>
        <v>0</v>
      </c>
      <c r="P346" s="11">
        <f t="shared" si="52"/>
        <v>0</v>
      </c>
      <c r="Q346" s="11"/>
      <c r="R346" s="11"/>
      <c r="S346" s="11"/>
      <c r="T346" s="11"/>
      <c r="V346" s="11"/>
      <c r="X346" s="11">
        <f t="shared" si="47"/>
        <v>1.736111111111116E-2</v>
      </c>
    </row>
    <row r="347" spans="1:25" outlineLevel="1" x14ac:dyDescent="0.15">
      <c r="A347" s="3">
        <v>37800</v>
      </c>
      <c r="B347" s="3" t="str">
        <f>VLOOKUP(F347, Aircraft!A$2:C$99, 2, FALSE)</f>
        <v>DHC-1</v>
      </c>
      <c r="C347" t="str">
        <f>VLOOKUP(F347, Aircraft!A$2:C$99, 3, FALSE)</f>
        <v>S</v>
      </c>
      <c r="D347" t="str">
        <f t="shared" si="48"/>
        <v>S</v>
      </c>
      <c r="E347" t="str">
        <f t="shared" si="46"/>
        <v>DHC-1</v>
      </c>
      <c r="F347" t="s">
        <v>38</v>
      </c>
      <c r="G347" t="s">
        <v>41</v>
      </c>
      <c r="H347" s="2" t="str">
        <f t="shared" si="53"/>
        <v>PUT</v>
      </c>
      <c r="I347" t="s">
        <v>250</v>
      </c>
      <c r="J347" t="s">
        <v>250</v>
      </c>
      <c r="K347" s="4">
        <v>0.375</v>
      </c>
      <c r="L347" s="4">
        <v>0.4236111111111111</v>
      </c>
      <c r="M347" s="11">
        <f t="shared" si="49"/>
        <v>0</v>
      </c>
      <c r="N347" s="11">
        <f t="shared" si="50"/>
        <v>4.8611111111111105E-2</v>
      </c>
      <c r="O347" s="11">
        <f t="shared" si="51"/>
        <v>0</v>
      </c>
      <c r="P347" s="11">
        <f t="shared" si="52"/>
        <v>0</v>
      </c>
      <c r="Q347" s="11"/>
      <c r="R347" s="11"/>
      <c r="S347" s="11"/>
      <c r="T347" s="11"/>
      <c r="V347" s="11"/>
      <c r="X347" s="11">
        <f t="shared" si="47"/>
        <v>4.8611111111111105E-2</v>
      </c>
      <c r="Y347" t="s">
        <v>514</v>
      </c>
    </row>
    <row r="348" spans="1:25" outlineLevel="1" x14ac:dyDescent="0.15">
      <c r="A348" s="3">
        <v>37801</v>
      </c>
      <c r="B348" s="3" t="str">
        <f>VLOOKUP(F348, Aircraft!A$2:C$99, 2, FALSE)</f>
        <v>PA34</v>
      </c>
      <c r="C348" t="str">
        <f>VLOOKUP(F348, Aircraft!A$2:C$99, 3, FALSE)</f>
        <v>T</v>
      </c>
      <c r="D348" t="str">
        <f t="shared" si="48"/>
        <v>T</v>
      </c>
      <c r="E348" t="str">
        <f t="shared" si="46"/>
        <v>PA34</v>
      </c>
      <c r="F348" t="s">
        <v>572</v>
      </c>
      <c r="G348" t="s">
        <v>191</v>
      </c>
      <c r="H348" s="2" t="str">
        <f t="shared" si="53"/>
        <v>P1</v>
      </c>
      <c r="I348" t="s">
        <v>250</v>
      </c>
      <c r="J348" t="s">
        <v>20</v>
      </c>
      <c r="K348" s="4">
        <v>0.5</v>
      </c>
      <c r="L348" s="4">
        <v>0.54166666666666663</v>
      </c>
      <c r="M348" s="11">
        <f t="shared" si="49"/>
        <v>0</v>
      </c>
      <c r="N348" s="11">
        <f t="shared" si="50"/>
        <v>0</v>
      </c>
      <c r="O348" s="11">
        <f t="shared" si="51"/>
        <v>4.166666666666663E-2</v>
      </c>
      <c r="P348" s="11">
        <f t="shared" si="52"/>
        <v>0</v>
      </c>
      <c r="Q348" s="11"/>
      <c r="R348" s="11"/>
      <c r="S348" s="11"/>
      <c r="T348" s="11"/>
      <c r="V348" s="11"/>
      <c r="X348" s="11">
        <f t="shared" si="47"/>
        <v>4.166666666666663E-2</v>
      </c>
      <c r="Y348" t="s">
        <v>515</v>
      </c>
    </row>
    <row r="349" spans="1:25" outlineLevel="1" x14ac:dyDescent="0.15">
      <c r="A349" s="3">
        <v>37801</v>
      </c>
      <c r="B349" s="3" t="str">
        <f>VLOOKUP(F349, Aircraft!A$2:C$99, 2, FALSE)</f>
        <v>PA34</v>
      </c>
      <c r="C349" t="str">
        <f>VLOOKUP(F349, Aircraft!A$2:C$99, 3, FALSE)</f>
        <v>T</v>
      </c>
      <c r="D349" t="str">
        <f t="shared" si="48"/>
        <v>T</v>
      </c>
      <c r="E349" t="str">
        <f t="shared" si="46"/>
        <v>PA34</v>
      </c>
      <c r="F349" t="s">
        <v>572</v>
      </c>
      <c r="G349" t="s">
        <v>191</v>
      </c>
      <c r="H349" s="2" t="str">
        <f t="shared" si="53"/>
        <v>P1</v>
      </c>
      <c r="I349" t="s">
        <v>20</v>
      </c>
      <c r="J349" t="s">
        <v>250</v>
      </c>
      <c r="K349" s="4">
        <v>0.6875</v>
      </c>
      <c r="L349" s="4">
        <v>0.72916666666666663</v>
      </c>
      <c r="M349" s="11">
        <f t="shared" si="49"/>
        <v>0</v>
      </c>
      <c r="N349" s="11">
        <f t="shared" si="50"/>
        <v>0</v>
      </c>
      <c r="O349" s="11">
        <f t="shared" si="51"/>
        <v>4.166666666666663E-2</v>
      </c>
      <c r="P349" s="11">
        <f t="shared" si="52"/>
        <v>0</v>
      </c>
      <c r="Q349" s="11"/>
      <c r="R349" s="11"/>
      <c r="S349" s="11"/>
      <c r="T349" s="11"/>
      <c r="V349" s="11"/>
      <c r="X349" s="11">
        <f t="shared" si="47"/>
        <v>4.166666666666663E-2</v>
      </c>
    </row>
    <row r="350" spans="1:25" outlineLevel="1" x14ac:dyDescent="0.15">
      <c r="A350" s="3">
        <v>37807</v>
      </c>
      <c r="B350" s="3" t="str">
        <f>VLOOKUP(F350, Aircraft!A$2:C$99, 2, FALSE)</f>
        <v>PA28-235</v>
      </c>
      <c r="C350" t="str">
        <f>VLOOKUP(F350, Aircraft!A$2:C$99, 3, FALSE)</f>
        <v>S</v>
      </c>
      <c r="D350" t="str">
        <f t="shared" si="48"/>
        <v>S</v>
      </c>
      <c r="E350" t="str">
        <f t="shared" si="46"/>
        <v>PA28-235</v>
      </c>
      <c r="F350" t="s">
        <v>490</v>
      </c>
      <c r="G350" t="s">
        <v>191</v>
      </c>
      <c r="H350" s="2" t="str">
        <f t="shared" si="53"/>
        <v>P1</v>
      </c>
      <c r="I350" t="s">
        <v>250</v>
      </c>
      <c r="J350" t="s">
        <v>64</v>
      </c>
      <c r="K350" s="4">
        <v>0.35</v>
      </c>
      <c r="L350" s="4">
        <v>0.46111111111111108</v>
      </c>
      <c r="M350" s="11">
        <f t="shared" si="49"/>
        <v>0.1111111111111111</v>
      </c>
      <c r="N350" s="11">
        <f t="shared" si="50"/>
        <v>0</v>
      </c>
      <c r="O350" s="11">
        <f t="shared" si="51"/>
        <v>0</v>
      </c>
      <c r="P350" s="11">
        <f t="shared" si="52"/>
        <v>0</v>
      </c>
      <c r="Q350" s="11"/>
      <c r="R350" s="11"/>
      <c r="S350" s="11"/>
      <c r="T350" s="11"/>
      <c r="V350" s="11"/>
      <c r="X350" s="11">
        <f t="shared" si="47"/>
        <v>0.1111111111111111</v>
      </c>
    </row>
    <row r="351" spans="1:25" outlineLevel="1" x14ac:dyDescent="0.15">
      <c r="A351" s="3">
        <v>37808</v>
      </c>
      <c r="B351" s="3" t="str">
        <f>VLOOKUP(F351, Aircraft!A$2:C$99, 2, FALSE)</f>
        <v>PA28-235</v>
      </c>
      <c r="C351" t="str">
        <f>VLOOKUP(F351, Aircraft!A$2:C$99, 3, FALSE)</f>
        <v>S</v>
      </c>
      <c r="D351" t="str">
        <f t="shared" si="48"/>
        <v>S</v>
      </c>
      <c r="E351" t="str">
        <f t="shared" si="46"/>
        <v>PA28-235</v>
      </c>
      <c r="F351" t="s">
        <v>490</v>
      </c>
      <c r="G351" t="s">
        <v>191</v>
      </c>
      <c r="H351" s="2" t="str">
        <f t="shared" si="53"/>
        <v>P1</v>
      </c>
      <c r="I351" t="s">
        <v>64</v>
      </c>
      <c r="J351" t="s">
        <v>250</v>
      </c>
      <c r="K351" s="4">
        <v>0.54861111111111105</v>
      </c>
      <c r="L351" s="4">
        <v>0.65277777777777779</v>
      </c>
      <c r="M351" s="11">
        <f t="shared" si="49"/>
        <v>0.10416666666666674</v>
      </c>
      <c r="N351" s="11">
        <f t="shared" si="50"/>
        <v>0</v>
      </c>
      <c r="O351" s="11">
        <f t="shared" si="51"/>
        <v>0</v>
      </c>
      <c r="P351" s="11">
        <f t="shared" si="52"/>
        <v>0</v>
      </c>
      <c r="Q351" s="11"/>
      <c r="R351" s="11"/>
      <c r="S351" s="11"/>
      <c r="T351" s="11"/>
      <c r="V351" s="11"/>
      <c r="X351" s="11">
        <f t="shared" si="47"/>
        <v>0.10416666666666674</v>
      </c>
    </row>
    <row r="352" spans="1:25" outlineLevel="1" x14ac:dyDescent="0.15">
      <c r="A352" s="3">
        <v>37822</v>
      </c>
      <c r="B352" s="3" t="str">
        <f>VLOOKUP(F352, Aircraft!A$2:C$99, 2, FALSE)</f>
        <v>PA28R</v>
      </c>
      <c r="C352" t="str">
        <f>VLOOKUP(F352, Aircraft!A$2:C$99, 3, FALSE)</f>
        <v>S</v>
      </c>
      <c r="D352" t="str">
        <f t="shared" si="48"/>
        <v>S</v>
      </c>
      <c r="E352" t="str">
        <f t="shared" si="46"/>
        <v>PA28R</v>
      </c>
      <c r="F352" t="s">
        <v>516</v>
      </c>
      <c r="G352" t="s">
        <v>657</v>
      </c>
      <c r="H352" s="2" t="str">
        <f t="shared" si="53"/>
        <v>PUT</v>
      </c>
      <c r="I352" t="s">
        <v>356</v>
      </c>
      <c r="J352" t="s">
        <v>356</v>
      </c>
      <c r="K352" s="4">
        <v>0.4548611111111111</v>
      </c>
      <c r="L352" s="4">
        <v>0.50694444444444442</v>
      </c>
      <c r="M352" s="11">
        <f t="shared" si="49"/>
        <v>0</v>
      </c>
      <c r="N352" s="11">
        <f t="shared" si="50"/>
        <v>5.2083333333333315E-2</v>
      </c>
      <c r="O352" s="11">
        <f t="shared" si="51"/>
        <v>0</v>
      </c>
      <c r="P352" s="11">
        <f t="shared" si="52"/>
        <v>0</v>
      </c>
      <c r="Q352" s="11"/>
      <c r="R352" s="11"/>
      <c r="S352" s="11"/>
      <c r="T352" s="11"/>
      <c r="V352" s="11"/>
      <c r="X352" s="11">
        <f t="shared" si="47"/>
        <v>5.2083333333333315E-2</v>
      </c>
      <c r="Y352" t="s">
        <v>518</v>
      </c>
    </row>
    <row r="353" spans="1:25" outlineLevel="1" x14ac:dyDescent="0.15">
      <c r="A353" s="3">
        <v>37822</v>
      </c>
      <c r="B353" s="3" t="str">
        <f>VLOOKUP(F353, Aircraft!A$2:C$99, 2, FALSE)</f>
        <v>PA28R</v>
      </c>
      <c r="C353" t="str">
        <f>VLOOKUP(F353, Aircraft!A$2:C$99, 3, FALSE)</f>
        <v>S</v>
      </c>
      <c r="D353" t="str">
        <f t="shared" si="48"/>
        <v>S</v>
      </c>
      <c r="E353" t="str">
        <f t="shared" si="46"/>
        <v>PA28R</v>
      </c>
      <c r="F353" t="s">
        <v>516</v>
      </c>
      <c r="G353" t="s">
        <v>657</v>
      </c>
      <c r="H353" s="2" t="str">
        <f t="shared" si="53"/>
        <v>PUT</v>
      </c>
      <c r="I353" t="s">
        <v>356</v>
      </c>
      <c r="J353" t="s">
        <v>356</v>
      </c>
      <c r="K353" s="4">
        <v>0.54166666666666663</v>
      </c>
      <c r="L353" s="4">
        <v>0.59791666666666665</v>
      </c>
      <c r="M353" s="11">
        <f t="shared" si="49"/>
        <v>0</v>
      </c>
      <c r="N353" s="11">
        <f t="shared" si="50"/>
        <v>5.6250000000000022E-2</v>
      </c>
      <c r="O353" s="11">
        <f t="shared" si="51"/>
        <v>0</v>
      </c>
      <c r="P353" s="11">
        <f t="shared" si="52"/>
        <v>0</v>
      </c>
      <c r="Q353" s="11"/>
      <c r="R353" s="11"/>
      <c r="S353" s="11"/>
      <c r="T353" s="11"/>
      <c r="V353" s="11"/>
      <c r="X353" s="11">
        <f t="shared" si="47"/>
        <v>5.6250000000000022E-2</v>
      </c>
      <c r="Y353" t="s">
        <v>519</v>
      </c>
    </row>
    <row r="354" spans="1:25" outlineLevel="1" x14ac:dyDescent="0.15">
      <c r="A354" s="3">
        <v>37828</v>
      </c>
      <c r="B354" s="3" t="str">
        <f>VLOOKUP(F354, Aircraft!A$2:C$99, 2, FALSE)</f>
        <v>PA28-235</v>
      </c>
      <c r="C354" t="str">
        <f>VLOOKUP(F354, Aircraft!A$2:C$99, 3, FALSE)</f>
        <v>S</v>
      </c>
      <c r="D354" t="str">
        <f t="shared" si="48"/>
        <v>S</v>
      </c>
      <c r="E354" t="str">
        <f t="shared" si="46"/>
        <v>PA28-235</v>
      </c>
      <c r="F354" t="s">
        <v>490</v>
      </c>
      <c r="G354" t="s">
        <v>191</v>
      </c>
      <c r="H354" s="2" t="str">
        <f t="shared" si="53"/>
        <v>P1</v>
      </c>
      <c r="I354" t="s">
        <v>250</v>
      </c>
      <c r="J354" t="s">
        <v>20</v>
      </c>
      <c r="K354" s="4">
        <v>0.41111111111111115</v>
      </c>
      <c r="L354" s="4">
        <v>0.46388888888888885</v>
      </c>
      <c r="M354" s="11">
        <f t="shared" si="49"/>
        <v>5.2777777777777701E-2</v>
      </c>
      <c r="N354" s="11">
        <f t="shared" si="50"/>
        <v>0</v>
      </c>
      <c r="O354" s="11">
        <f t="shared" si="51"/>
        <v>0</v>
      </c>
      <c r="P354" s="11">
        <f t="shared" si="52"/>
        <v>0</v>
      </c>
      <c r="Q354" s="11"/>
      <c r="R354" s="11"/>
      <c r="S354" s="11"/>
      <c r="T354" s="11"/>
      <c r="U354" s="27">
        <v>0.9</v>
      </c>
      <c r="V354" s="11"/>
      <c r="X354" s="11">
        <f t="shared" si="47"/>
        <v>5.2777777777777701E-2</v>
      </c>
      <c r="Y354" t="s">
        <v>520</v>
      </c>
    </row>
    <row r="355" spans="1:25" outlineLevel="1" x14ac:dyDescent="0.15">
      <c r="A355" s="3">
        <v>37828</v>
      </c>
      <c r="B355" s="3" t="str">
        <f>VLOOKUP(F355, Aircraft!A$2:C$99, 2, FALSE)</f>
        <v>PA28-235</v>
      </c>
      <c r="C355" t="str">
        <f>VLOOKUP(F355, Aircraft!A$2:C$99, 3, FALSE)</f>
        <v>S</v>
      </c>
      <c r="D355" t="str">
        <f t="shared" si="48"/>
        <v>S</v>
      </c>
      <c r="E355" t="str">
        <f t="shared" si="46"/>
        <v>PA28-235</v>
      </c>
      <c r="F355" t="s">
        <v>490</v>
      </c>
      <c r="G355" t="s">
        <v>191</v>
      </c>
      <c r="H355" s="2" t="str">
        <f t="shared" si="53"/>
        <v>P1</v>
      </c>
      <c r="I355" t="s">
        <v>20</v>
      </c>
      <c r="J355" t="s">
        <v>22</v>
      </c>
      <c r="K355" s="4">
        <v>0.4909722222222222</v>
      </c>
      <c r="L355" s="4">
        <v>0.57638888888888895</v>
      </c>
      <c r="M355" s="11">
        <f t="shared" si="49"/>
        <v>8.5416666666666752E-2</v>
      </c>
      <c r="N355" s="11">
        <f t="shared" si="50"/>
        <v>0</v>
      </c>
      <c r="O355" s="11">
        <f t="shared" si="51"/>
        <v>0</v>
      </c>
      <c r="P355" s="11">
        <f t="shared" si="52"/>
        <v>0</v>
      </c>
      <c r="Q355" s="11"/>
      <c r="R355" s="11"/>
      <c r="S355" s="11"/>
      <c r="T355" s="11"/>
      <c r="U355" s="27">
        <v>1.5</v>
      </c>
      <c r="V355" s="11"/>
      <c r="X355" s="11">
        <f t="shared" si="47"/>
        <v>8.5416666666666752E-2</v>
      </c>
    </row>
    <row r="356" spans="1:25" outlineLevel="1" x14ac:dyDescent="0.15">
      <c r="A356" s="3">
        <v>37829</v>
      </c>
      <c r="B356" s="3" t="str">
        <f>VLOOKUP(F356, Aircraft!A$2:C$99, 2, FALSE)</f>
        <v>PA28-235</v>
      </c>
      <c r="C356" t="str">
        <f>VLOOKUP(F356, Aircraft!A$2:C$99, 3, FALSE)</f>
        <v>S</v>
      </c>
      <c r="D356" t="str">
        <f t="shared" si="48"/>
        <v>S</v>
      </c>
      <c r="E356" t="str">
        <f t="shared" si="46"/>
        <v>PA28-235</v>
      </c>
      <c r="F356" t="s">
        <v>490</v>
      </c>
      <c r="G356" t="s">
        <v>191</v>
      </c>
      <c r="H356" s="2" t="str">
        <f t="shared" si="53"/>
        <v>P1</v>
      </c>
      <c r="I356" t="s">
        <v>22</v>
      </c>
      <c r="J356" t="s">
        <v>20</v>
      </c>
      <c r="K356" s="4">
        <v>0.33333333333333331</v>
      </c>
      <c r="L356" s="4">
        <v>0.4145833333333333</v>
      </c>
      <c r="M356" s="11">
        <f t="shared" si="49"/>
        <v>8.1249999999999989E-2</v>
      </c>
      <c r="N356" s="11">
        <f t="shared" si="50"/>
        <v>0</v>
      </c>
      <c r="O356" s="11">
        <f t="shared" si="51"/>
        <v>0</v>
      </c>
      <c r="P356" s="11">
        <f t="shared" si="52"/>
        <v>0</v>
      </c>
      <c r="Q356" s="11"/>
      <c r="R356" s="11"/>
      <c r="S356" s="11"/>
      <c r="T356" s="11"/>
      <c r="U356" s="27">
        <v>1.2</v>
      </c>
      <c r="V356" s="11"/>
      <c r="X356" s="11">
        <f t="shared" si="47"/>
        <v>8.1249999999999989E-2</v>
      </c>
    </row>
    <row r="357" spans="1:25" outlineLevel="1" x14ac:dyDescent="0.15">
      <c r="A357" s="3">
        <v>37829</v>
      </c>
      <c r="B357" s="3" t="str">
        <f>VLOOKUP(F357, Aircraft!A$2:C$99, 2, FALSE)</f>
        <v>PA28-235</v>
      </c>
      <c r="C357" t="str">
        <f>VLOOKUP(F357, Aircraft!A$2:C$99, 3, FALSE)</f>
        <v>S</v>
      </c>
      <c r="D357" t="str">
        <f t="shared" si="48"/>
        <v>S</v>
      </c>
      <c r="E357" t="str">
        <f t="shared" si="46"/>
        <v>PA28-235</v>
      </c>
      <c r="F357" t="s">
        <v>490</v>
      </c>
      <c r="G357" t="s">
        <v>191</v>
      </c>
      <c r="H357" s="2" t="str">
        <f t="shared" si="53"/>
        <v>P1</v>
      </c>
      <c r="I357" t="s">
        <v>20</v>
      </c>
      <c r="J357" t="s">
        <v>250</v>
      </c>
      <c r="K357" s="4">
        <v>0.43888888888888888</v>
      </c>
      <c r="L357" s="4">
        <v>0.47986111111111113</v>
      </c>
      <c r="M357" s="11">
        <f t="shared" si="49"/>
        <v>4.0972222222222243E-2</v>
      </c>
      <c r="N357" s="11">
        <f t="shared" si="50"/>
        <v>0</v>
      </c>
      <c r="O357" s="11">
        <f t="shared" si="51"/>
        <v>0</v>
      </c>
      <c r="P357" s="11">
        <f t="shared" si="52"/>
        <v>0</v>
      </c>
      <c r="Q357" s="11"/>
      <c r="R357" s="11"/>
      <c r="S357" s="11"/>
      <c r="T357" s="11"/>
      <c r="U357" s="27">
        <v>0.3</v>
      </c>
      <c r="V357" s="11"/>
      <c r="X357" s="11">
        <f t="shared" si="47"/>
        <v>4.0972222222222243E-2</v>
      </c>
    </row>
    <row r="358" spans="1:25" outlineLevel="1" x14ac:dyDescent="0.15">
      <c r="A358" s="3">
        <v>37835</v>
      </c>
      <c r="B358" s="3" t="str">
        <f>VLOOKUP(F358, Aircraft!A$2:C$99, 2, FALSE)</f>
        <v>PA28R</v>
      </c>
      <c r="C358" t="str">
        <f>VLOOKUP(F358, Aircraft!A$2:C$99, 3, FALSE)</f>
        <v>S</v>
      </c>
      <c r="D358" t="str">
        <f t="shared" si="48"/>
        <v>S</v>
      </c>
      <c r="E358" t="str">
        <f t="shared" si="46"/>
        <v>PA28R</v>
      </c>
      <c r="F358" t="s">
        <v>516</v>
      </c>
      <c r="G358" t="s">
        <v>657</v>
      </c>
      <c r="H358" s="2" t="str">
        <f t="shared" si="53"/>
        <v>PUT</v>
      </c>
      <c r="I358" t="s">
        <v>356</v>
      </c>
      <c r="J358" t="s">
        <v>356</v>
      </c>
      <c r="K358" s="4">
        <v>0.5541666666666667</v>
      </c>
      <c r="L358" s="4">
        <v>0.61527777777777781</v>
      </c>
      <c r="M358" s="11">
        <f t="shared" si="49"/>
        <v>0</v>
      </c>
      <c r="N358" s="11">
        <f t="shared" si="50"/>
        <v>6.1111111111111116E-2</v>
      </c>
      <c r="O358" s="11">
        <f t="shared" si="51"/>
        <v>0</v>
      </c>
      <c r="P358" s="11">
        <f t="shared" si="52"/>
        <v>0</v>
      </c>
      <c r="Q358" s="11"/>
      <c r="R358" s="11"/>
      <c r="S358" s="11"/>
      <c r="T358" s="11"/>
      <c r="V358" s="11"/>
      <c r="X358" s="11">
        <f t="shared" si="47"/>
        <v>6.1111111111111116E-2</v>
      </c>
      <c r="Y358" t="s">
        <v>521</v>
      </c>
    </row>
    <row r="359" spans="1:25" outlineLevel="1" x14ac:dyDescent="0.15">
      <c r="A359" s="3">
        <v>37835</v>
      </c>
      <c r="B359" s="3" t="str">
        <f>VLOOKUP(F359, Aircraft!A$2:C$99, 2, FALSE)</f>
        <v>PA28R</v>
      </c>
      <c r="C359" t="str">
        <f>VLOOKUP(F359, Aircraft!A$2:C$99, 3, FALSE)</f>
        <v>S</v>
      </c>
      <c r="D359" t="str">
        <f t="shared" si="48"/>
        <v>S</v>
      </c>
      <c r="E359" t="str">
        <f t="shared" si="46"/>
        <v>PA28R</v>
      </c>
      <c r="F359" t="s">
        <v>516</v>
      </c>
      <c r="G359" t="s">
        <v>657</v>
      </c>
      <c r="H359" s="2" t="str">
        <f t="shared" si="53"/>
        <v>PUT</v>
      </c>
      <c r="I359" t="s">
        <v>356</v>
      </c>
      <c r="J359" t="s">
        <v>356</v>
      </c>
      <c r="K359" s="4">
        <v>0.66180555555555554</v>
      </c>
      <c r="L359" s="4">
        <v>0.70486111111111116</v>
      </c>
      <c r="M359" s="11">
        <f t="shared" si="49"/>
        <v>0</v>
      </c>
      <c r="N359" s="11">
        <f t="shared" si="50"/>
        <v>4.3055555555555625E-2</v>
      </c>
      <c r="O359" s="11">
        <f t="shared" si="51"/>
        <v>0</v>
      </c>
      <c r="P359" s="11">
        <f t="shared" si="52"/>
        <v>0</v>
      </c>
      <c r="Q359" s="11"/>
      <c r="R359" s="11"/>
      <c r="S359" s="11"/>
      <c r="T359" s="11"/>
      <c r="V359" s="11"/>
      <c r="X359" s="11">
        <f t="shared" si="47"/>
        <v>4.3055555555555625E-2</v>
      </c>
      <c r="Y359" t="s">
        <v>216</v>
      </c>
    </row>
    <row r="360" spans="1:25" outlineLevel="1" x14ac:dyDescent="0.15">
      <c r="A360" s="3">
        <v>37836</v>
      </c>
      <c r="B360" s="3" t="str">
        <f>VLOOKUP(F360, Aircraft!A$2:C$99, 2, FALSE)</f>
        <v>PA28R</v>
      </c>
      <c r="C360" t="str">
        <f>VLOOKUP(F360, Aircraft!A$2:C$99, 3, FALSE)</f>
        <v>S</v>
      </c>
      <c r="D360" t="str">
        <f t="shared" si="48"/>
        <v>S</v>
      </c>
      <c r="E360" t="str">
        <f t="shared" si="46"/>
        <v>PA28R</v>
      </c>
      <c r="F360" t="s">
        <v>516</v>
      </c>
      <c r="G360" t="s">
        <v>657</v>
      </c>
      <c r="H360" s="2" t="str">
        <f t="shared" si="53"/>
        <v>PUT</v>
      </c>
      <c r="I360" t="s">
        <v>356</v>
      </c>
      <c r="J360" t="s">
        <v>356</v>
      </c>
      <c r="K360" s="4">
        <v>0.51458333333333328</v>
      </c>
      <c r="L360" s="4">
        <v>0.57916666666666672</v>
      </c>
      <c r="M360" s="11">
        <f t="shared" si="49"/>
        <v>0</v>
      </c>
      <c r="N360" s="11">
        <f t="shared" si="50"/>
        <v>6.4583333333333437E-2</v>
      </c>
      <c r="O360" s="11">
        <f t="shared" si="51"/>
        <v>0</v>
      </c>
      <c r="P360" s="11">
        <f t="shared" si="52"/>
        <v>0</v>
      </c>
      <c r="Q360" s="11"/>
      <c r="R360" s="11"/>
      <c r="S360" s="11"/>
      <c r="T360" s="11"/>
      <c r="U360" s="27">
        <v>0.4</v>
      </c>
      <c r="V360" s="11"/>
      <c r="X360" s="11">
        <f t="shared" si="47"/>
        <v>6.4583333333333437E-2</v>
      </c>
      <c r="Y360" t="s">
        <v>217</v>
      </c>
    </row>
    <row r="361" spans="1:25" outlineLevel="1" x14ac:dyDescent="0.15">
      <c r="A361" s="3">
        <v>37841</v>
      </c>
      <c r="B361" s="3" t="str">
        <f>VLOOKUP(F361, Aircraft!A$2:C$99, 2, FALSE)</f>
        <v>PA28R</v>
      </c>
      <c r="C361" t="str">
        <f>VLOOKUP(F361, Aircraft!A$2:C$99, 3, FALSE)</f>
        <v>S</v>
      </c>
      <c r="D361" t="str">
        <f t="shared" si="48"/>
        <v>S</v>
      </c>
      <c r="E361" t="str">
        <f t="shared" si="46"/>
        <v>PA28R</v>
      </c>
      <c r="F361" t="s">
        <v>516</v>
      </c>
      <c r="G361" t="s">
        <v>324</v>
      </c>
      <c r="H361" s="2" t="str">
        <f t="shared" si="53"/>
        <v>PUT</v>
      </c>
      <c r="I361" t="s">
        <v>356</v>
      </c>
      <c r="J361" t="s">
        <v>356</v>
      </c>
      <c r="K361" s="4">
        <v>0.56944444444444442</v>
      </c>
      <c r="L361" s="4">
        <v>0.65</v>
      </c>
      <c r="M361" s="11">
        <f t="shared" si="49"/>
        <v>0</v>
      </c>
      <c r="N361" s="11">
        <f t="shared" si="50"/>
        <v>8.0555555555555602E-2</v>
      </c>
      <c r="O361" s="11">
        <f t="shared" si="51"/>
        <v>0</v>
      </c>
      <c r="P361" s="11">
        <f t="shared" si="52"/>
        <v>0</v>
      </c>
      <c r="Q361" s="11"/>
      <c r="R361" s="11"/>
      <c r="S361" s="11"/>
      <c r="T361" s="11"/>
      <c r="U361" s="27">
        <v>0.4</v>
      </c>
      <c r="V361" s="11"/>
      <c r="X361" s="11">
        <f t="shared" si="47"/>
        <v>8.0555555555555602E-2</v>
      </c>
      <c r="Y361" t="s">
        <v>218</v>
      </c>
    </row>
    <row r="362" spans="1:25" outlineLevel="1" x14ac:dyDescent="0.15">
      <c r="A362" s="3">
        <v>37848</v>
      </c>
      <c r="B362" s="3" t="str">
        <f>VLOOKUP(F362, Aircraft!A$2:C$99, 2, FALSE)</f>
        <v>PA28R</v>
      </c>
      <c r="C362" t="str">
        <f>VLOOKUP(F362, Aircraft!A$2:C$99, 3, FALSE)</f>
        <v>S</v>
      </c>
      <c r="D362" t="str">
        <f t="shared" si="48"/>
        <v>S</v>
      </c>
      <c r="E362" t="str">
        <f t="shared" si="46"/>
        <v>PA28R</v>
      </c>
      <c r="F362" t="s">
        <v>516</v>
      </c>
      <c r="G362" t="s">
        <v>191</v>
      </c>
      <c r="H362" s="2" t="str">
        <f t="shared" si="53"/>
        <v>P1</v>
      </c>
      <c r="I362" t="s">
        <v>356</v>
      </c>
      <c r="J362" t="s">
        <v>356</v>
      </c>
      <c r="K362" s="4">
        <v>0.45277777777777778</v>
      </c>
      <c r="L362" s="4">
        <v>0.51527777777777783</v>
      </c>
      <c r="M362" s="11">
        <f t="shared" si="49"/>
        <v>6.2500000000000056E-2</v>
      </c>
      <c r="N362" s="11">
        <f t="shared" si="50"/>
        <v>0</v>
      </c>
      <c r="O362" s="11">
        <f t="shared" si="51"/>
        <v>0</v>
      </c>
      <c r="P362" s="11">
        <f t="shared" si="52"/>
        <v>0</v>
      </c>
      <c r="Q362" s="11"/>
      <c r="R362" s="11"/>
      <c r="S362" s="11"/>
      <c r="T362" s="11"/>
      <c r="V362" s="11"/>
      <c r="X362" s="11">
        <f t="shared" si="47"/>
        <v>6.2500000000000056E-2</v>
      </c>
      <c r="Y362" t="s">
        <v>219</v>
      </c>
    </row>
    <row r="363" spans="1:25" outlineLevel="1" x14ac:dyDescent="0.15">
      <c r="A363" s="3">
        <v>37849</v>
      </c>
      <c r="B363" s="3" t="str">
        <f>VLOOKUP(F363, Aircraft!A$2:C$99, 2, FALSE)</f>
        <v>PA28R</v>
      </c>
      <c r="C363" t="str">
        <f>VLOOKUP(F363, Aircraft!A$2:C$99, 3, FALSE)</f>
        <v>S</v>
      </c>
      <c r="D363" t="str">
        <f t="shared" si="48"/>
        <v>S</v>
      </c>
      <c r="E363" t="str">
        <f t="shared" si="46"/>
        <v>PA28R</v>
      </c>
      <c r="F363" t="s">
        <v>516</v>
      </c>
      <c r="G363" t="s">
        <v>657</v>
      </c>
      <c r="H363" s="2" t="str">
        <f t="shared" si="53"/>
        <v>PUT</v>
      </c>
      <c r="I363" t="s">
        <v>356</v>
      </c>
      <c r="J363" t="s">
        <v>356</v>
      </c>
      <c r="K363" s="4">
        <v>0.42708333333333331</v>
      </c>
      <c r="L363" s="4">
        <v>0.44374999999999998</v>
      </c>
      <c r="M363" s="11">
        <f t="shared" si="49"/>
        <v>0</v>
      </c>
      <c r="N363" s="11">
        <f t="shared" si="50"/>
        <v>1.6666666666666663E-2</v>
      </c>
      <c r="O363" s="11">
        <f t="shared" si="51"/>
        <v>0</v>
      </c>
      <c r="P363" s="11">
        <f t="shared" si="52"/>
        <v>0</v>
      </c>
      <c r="Q363" s="11"/>
      <c r="R363" s="11"/>
      <c r="S363" s="11"/>
      <c r="T363" s="11"/>
      <c r="V363" s="11"/>
      <c r="X363" s="11">
        <f t="shared" si="47"/>
        <v>1.6666666666666663E-2</v>
      </c>
      <c r="Y363" t="s">
        <v>220</v>
      </c>
    </row>
    <row r="364" spans="1:25" outlineLevel="1" x14ac:dyDescent="0.15">
      <c r="A364" s="3">
        <v>37849</v>
      </c>
      <c r="B364" s="3" t="str">
        <f>VLOOKUP(F364, Aircraft!A$2:C$99, 2, FALSE)</f>
        <v>PA28R</v>
      </c>
      <c r="C364" t="str">
        <f>VLOOKUP(F364, Aircraft!A$2:C$99, 3, FALSE)</f>
        <v>S</v>
      </c>
      <c r="D364" t="str">
        <f t="shared" si="48"/>
        <v>S</v>
      </c>
      <c r="E364" t="str">
        <f t="shared" si="46"/>
        <v>PA28R</v>
      </c>
      <c r="F364" t="s">
        <v>516</v>
      </c>
      <c r="G364" t="s">
        <v>337</v>
      </c>
      <c r="H364" s="2" t="str">
        <f t="shared" si="53"/>
        <v>PUT</v>
      </c>
      <c r="I364" t="s">
        <v>356</v>
      </c>
      <c r="J364" t="s">
        <v>356</v>
      </c>
      <c r="K364" s="4">
        <v>0.54166666666666663</v>
      </c>
      <c r="L364" s="4">
        <v>0.63194444444444442</v>
      </c>
      <c r="M364" s="11">
        <f t="shared" si="49"/>
        <v>0</v>
      </c>
      <c r="N364" s="11">
        <f t="shared" si="50"/>
        <v>9.027777777777779E-2</v>
      </c>
      <c r="O364" s="11">
        <f t="shared" si="51"/>
        <v>0</v>
      </c>
      <c r="P364" s="11">
        <f t="shared" si="52"/>
        <v>0</v>
      </c>
      <c r="Q364" s="11"/>
      <c r="R364" s="11"/>
      <c r="S364" s="11"/>
      <c r="T364" s="11"/>
      <c r="V364" s="11"/>
      <c r="X364" s="11">
        <f t="shared" si="47"/>
        <v>9.027777777777779E-2</v>
      </c>
      <c r="Y364" t="s">
        <v>221</v>
      </c>
    </row>
    <row r="365" spans="1:25" outlineLevel="1" x14ac:dyDescent="0.15">
      <c r="A365" s="3">
        <v>37855</v>
      </c>
      <c r="B365" s="3" t="str">
        <f>VLOOKUP(F365, Aircraft!A$2:C$99, 2, FALSE)</f>
        <v>PA28R</v>
      </c>
      <c r="C365" t="str">
        <f>VLOOKUP(F365, Aircraft!A$2:C$99, 3, FALSE)</f>
        <v>S</v>
      </c>
      <c r="D365" t="str">
        <f t="shared" si="48"/>
        <v>S</v>
      </c>
      <c r="E365" t="str">
        <f t="shared" si="46"/>
        <v>PA28R</v>
      </c>
      <c r="F365" t="s">
        <v>516</v>
      </c>
      <c r="G365" t="s">
        <v>657</v>
      </c>
      <c r="H365" s="2" t="str">
        <f t="shared" si="53"/>
        <v>PUT</v>
      </c>
      <c r="I365" t="s">
        <v>356</v>
      </c>
      <c r="J365" t="s">
        <v>356</v>
      </c>
      <c r="K365" s="4">
        <v>0.37291666666666662</v>
      </c>
      <c r="L365" s="4">
        <v>0.44236111111111115</v>
      </c>
      <c r="M365" s="11">
        <f t="shared" si="49"/>
        <v>0</v>
      </c>
      <c r="N365" s="11">
        <f t="shared" si="50"/>
        <v>6.9444444444444531E-2</v>
      </c>
      <c r="O365" s="11">
        <f t="shared" si="51"/>
        <v>0</v>
      </c>
      <c r="P365" s="11">
        <f t="shared" si="52"/>
        <v>0</v>
      </c>
      <c r="Q365" s="11"/>
      <c r="R365" s="11"/>
      <c r="S365" s="11"/>
      <c r="T365" s="11"/>
      <c r="V365" s="11"/>
      <c r="X365" s="11">
        <f t="shared" si="47"/>
        <v>6.9444444444444531E-2</v>
      </c>
      <c r="Y365" t="s">
        <v>222</v>
      </c>
    </row>
    <row r="366" spans="1:25" outlineLevel="1" x14ac:dyDescent="0.15">
      <c r="A366" s="3">
        <v>37855</v>
      </c>
      <c r="B366" s="3" t="str">
        <f>VLOOKUP(F366, Aircraft!A$2:C$99, 2, FALSE)</f>
        <v>PA28R</v>
      </c>
      <c r="C366" t="str">
        <f>VLOOKUP(F366, Aircraft!A$2:C$99, 3, FALSE)</f>
        <v>S</v>
      </c>
      <c r="D366" t="str">
        <f t="shared" si="48"/>
        <v>S</v>
      </c>
      <c r="E366" t="str">
        <f t="shared" si="46"/>
        <v>PA28R</v>
      </c>
      <c r="F366" t="s">
        <v>516</v>
      </c>
      <c r="G366" t="s">
        <v>657</v>
      </c>
      <c r="H366" s="2" t="str">
        <f t="shared" si="53"/>
        <v>PUT</v>
      </c>
      <c r="I366" t="s">
        <v>356</v>
      </c>
      <c r="J366" t="s">
        <v>356</v>
      </c>
      <c r="K366" s="4">
        <v>0.47916666666666669</v>
      </c>
      <c r="L366" s="4">
        <v>0.52083333333333337</v>
      </c>
      <c r="M366" s="11">
        <f t="shared" si="49"/>
        <v>0</v>
      </c>
      <c r="N366" s="11">
        <f t="shared" si="50"/>
        <v>4.1666666666666685E-2</v>
      </c>
      <c r="O366" s="11">
        <f t="shared" si="51"/>
        <v>0</v>
      </c>
      <c r="P366" s="11">
        <f t="shared" si="52"/>
        <v>0</v>
      </c>
      <c r="Q366" s="11"/>
      <c r="R366" s="11"/>
      <c r="S366" s="11"/>
      <c r="T366" s="11"/>
      <c r="V366" s="11"/>
      <c r="X366" s="11">
        <f t="shared" si="47"/>
        <v>4.1666666666666685E-2</v>
      </c>
      <c r="Y366" t="s">
        <v>223</v>
      </c>
    </row>
    <row r="367" spans="1:25" outlineLevel="1" x14ac:dyDescent="0.15">
      <c r="A367" s="3">
        <v>37856</v>
      </c>
      <c r="B367" s="3" t="str">
        <f>VLOOKUP(F367, Aircraft!A$2:C$99, 2, FALSE)</f>
        <v>PA34</v>
      </c>
      <c r="C367" t="str">
        <f>VLOOKUP(F367, Aircraft!A$2:C$99, 3, FALSE)</f>
        <v>T</v>
      </c>
      <c r="D367" t="str">
        <f t="shared" si="48"/>
        <v>T</v>
      </c>
      <c r="E367" t="str">
        <f t="shared" si="46"/>
        <v>PA34</v>
      </c>
      <c r="F367" t="s">
        <v>224</v>
      </c>
      <c r="G367" t="s">
        <v>191</v>
      </c>
      <c r="H367" s="2" t="str">
        <f t="shared" si="53"/>
        <v>P1</v>
      </c>
      <c r="I367" t="s">
        <v>250</v>
      </c>
      <c r="J367" t="s">
        <v>355</v>
      </c>
      <c r="K367" s="4">
        <v>0.4458333333333333</v>
      </c>
      <c r="L367" s="4">
        <v>0.48333333333333334</v>
      </c>
      <c r="M367" s="11">
        <f t="shared" si="49"/>
        <v>0</v>
      </c>
      <c r="N367" s="11">
        <f t="shared" si="50"/>
        <v>0</v>
      </c>
      <c r="O367" s="11">
        <f t="shared" si="51"/>
        <v>3.7500000000000033E-2</v>
      </c>
      <c r="P367" s="11">
        <f t="shared" si="52"/>
        <v>0</v>
      </c>
      <c r="Q367" s="11"/>
      <c r="R367" s="11"/>
      <c r="S367" s="11"/>
      <c r="T367" s="11"/>
      <c r="V367" s="11"/>
      <c r="X367" s="11">
        <f t="shared" si="47"/>
        <v>3.7500000000000033E-2</v>
      </c>
      <c r="Y367" t="s">
        <v>225</v>
      </c>
    </row>
    <row r="368" spans="1:25" outlineLevel="1" x14ac:dyDescent="0.15">
      <c r="A368" s="3">
        <v>37856</v>
      </c>
      <c r="B368" s="3" t="str">
        <f>VLOOKUP(F368, Aircraft!A$2:C$99, 2, FALSE)</f>
        <v>PA34</v>
      </c>
      <c r="C368" t="str">
        <f>VLOOKUP(F368, Aircraft!A$2:C$99, 3, FALSE)</f>
        <v>T</v>
      </c>
      <c r="D368" t="str">
        <f t="shared" si="48"/>
        <v>T</v>
      </c>
      <c r="E368" t="str">
        <f t="shared" si="46"/>
        <v>PA34</v>
      </c>
      <c r="F368" t="s">
        <v>224</v>
      </c>
      <c r="G368" t="s">
        <v>191</v>
      </c>
      <c r="H368" s="2" t="str">
        <f t="shared" si="53"/>
        <v>P1</v>
      </c>
      <c r="I368" t="s">
        <v>355</v>
      </c>
      <c r="J368" t="s">
        <v>250</v>
      </c>
      <c r="K368" s="4">
        <v>0.64722222222222225</v>
      </c>
      <c r="L368" s="4">
        <v>0.6791666666666667</v>
      </c>
      <c r="M368" s="11">
        <f t="shared" si="49"/>
        <v>0</v>
      </c>
      <c r="N368" s="11">
        <f t="shared" si="50"/>
        <v>0</v>
      </c>
      <c r="O368" s="11">
        <f t="shared" si="51"/>
        <v>3.1944444444444442E-2</v>
      </c>
      <c r="P368" s="11">
        <f t="shared" si="52"/>
        <v>0</v>
      </c>
      <c r="Q368" s="11"/>
      <c r="R368" s="11"/>
      <c r="S368" s="11"/>
      <c r="T368" s="11"/>
      <c r="V368" s="11"/>
      <c r="X368" s="11">
        <f t="shared" si="47"/>
        <v>3.1944444444444442E-2</v>
      </c>
    </row>
    <row r="369" spans="1:25" outlineLevel="1" x14ac:dyDescent="0.15">
      <c r="A369" s="3">
        <v>37857</v>
      </c>
      <c r="B369" s="3" t="str">
        <f>VLOOKUP(F369, Aircraft!A$2:C$99, 2, FALSE)</f>
        <v>PA28R</v>
      </c>
      <c r="C369" t="str">
        <f>VLOOKUP(F369, Aircraft!A$2:C$99, 3, FALSE)</f>
        <v>S</v>
      </c>
      <c r="D369" t="str">
        <f t="shared" si="48"/>
        <v>S</v>
      </c>
      <c r="E369" t="str">
        <f t="shared" si="46"/>
        <v>PA28R</v>
      </c>
      <c r="F369" t="s">
        <v>516</v>
      </c>
      <c r="G369" t="s">
        <v>191</v>
      </c>
      <c r="H369" s="2" t="str">
        <f t="shared" si="53"/>
        <v>P1</v>
      </c>
      <c r="I369" t="s">
        <v>356</v>
      </c>
      <c r="J369" t="s">
        <v>356</v>
      </c>
      <c r="K369" s="4">
        <v>0.57847222222222217</v>
      </c>
      <c r="L369" s="4">
        <v>0.62986111111111109</v>
      </c>
      <c r="M369" s="11">
        <f t="shared" si="49"/>
        <v>5.1388888888888928E-2</v>
      </c>
      <c r="N369" s="11">
        <f t="shared" si="50"/>
        <v>0</v>
      </c>
      <c r="O369" s="11">
        <f t="shared" si="51"/>
        <v>0</v>
      </c>
      <c r="P369" s="11">
        <f t="shared" si="52"/>
        <v>0</v>
      </c>
      <c r="Q369" s="11"/>
      <c r="R369" s="11"/>
      <c r="S369" s="11"/>
      <c r="T369" s="11"/>
      <c r="V369" s="11"/>
      <c r="X369" s="11">
        <f t="shared" si="47"/>
        <v>5.1388888888888928E-2</v>
      </c>
      <c r="Y369" t="s">
        <v>226</v>
      </c>
    </row>
    <row r="370" spans="1:25" outlineLevel="1" x14ac:dyDescent="0.15">
      <c r="A370" s="3">
        <v>37870</v>
      </c>
      <c r="B370" s="3" t="str">
        <f>VLOOKUP(F370, Aircraft!A$2:C$99, 2, FALSE)</f>
        <v>PA28-235</v>
      </c>
      <c r="C370" t="str">
        <f>VLOOKUP(F370, Aircraft!A$2:C$99, 3, FALSE)</f>
        <v>S</v>
      </c>
      <c r="D370" t="str">
        <f t="shared" si="48"/>
        <v>S</v>
      </c>
      <c r="E370" t="str">
        <f t="shared" si="46"/>
        <v>PA28-235</v>
      </c>
      <c r="F370" t="s">
        <v>490</v>
      </c>
      <c r="G370" t="s">
        <v>191</v>
      </c>
      <c r="H370" s="2" t="str">
        <f t="shared" si="53"/>
        <v>P1</v>
      </c>
      <c r="I370" t="s">
        <v>250</v>
      </c>
      <c r="J370" t="s">
        <v>69</v>
      </c>
      <c r="K370" s="4">
        <v>0.35069444444444442</v>
      </c>
      <c r="L370" s="4">
        <v>0.39583333333333331</v>
      </c>
      <c r="M370" s="11">
        <f t="shared" si="49"/>
        <v>4.5138888888888895E-2</v>
      </c>
      <c r="N370" s="11">
        <f t="shared" si="50"/>
        <v>0</v>
      </c>
      <c r="O370" s="11">
        <f t="shared" si="51"/>
        <v>0</v>
      </c>
      <c r="P370" s="11">
        <f t="shared" si="52"/>
        <v>0</v>
      </c>
      <c r="Q370" s="11"/>
      <c r="R370" s="11"/>
      <c r="S370" s="11"/>
      <c r="T370" s="11"/>
      <c r="V370" s="11"/>
      <c r="X370" s="11">
        <f t="shared" si="47"/>
        <v>4.5138888888888895E-2</v>
      </c>
      <c r="Y370" t="s">
        <v>392</v>
      </c>
    </row>
    <row r="371" spans="1:25" outlineLevel="1" x14ac:dyDescent="0.15">
      <c r="A371" s="3">
        <v>37871</v>
      </c>
      <c r="B371" s="3" t="str">
        <f>VLOOKUP(F371, Aircraft!A$2:C$99, 2, FALSE)</f>
        <v>PA28-235</v>
      </c>
      <c r="C371" t="str">
        <f>VLOOKUP(F371, Aircraft!A$2:C$99, 3, FALSE)</f>
        <v>S</v>
      </c>
      <c r="D371" t="str">
        <f t="shared" si="48"/>
        <v>S</v>
      </c>
      <c r="E371" t="str">
        <f t="shared" si="46"/>
        <v>PA28-235</v>
      </c>
      <c r="F371" t="s">
        <v>490</v>
      </c>
      <c r="G371" t="s">
        <v>191</v>
      </c>
      <c r="H371" s="2" t="str">
        <f t="shared" si="53"/>
        <v>P1</v>
      </c>
      <c r="I371" t="s">
        <v>143</v>
      </c>
      <c r="J371" t="s">
        <v>250</v>
      </c>
      <c r="K371" s="4">
        <v>0.43194444444444446</v>
      </c>
      <c r="L371" s="4">
        <v>0.48541666666666666</v>
      </c>
      <c r="M371" s="11">
        <f t="shared" si="49"/>
        <v>5.3472222222222199E-2</v>
      </c>
      <c r="N371" s="11">
        <f t="shared" si="50"/>
        <v>0</v>
      </c>
      <c r="O371" s="11">
        <f t="shared" si="51"/>
        <v>0</v>
      </c>
      <c r="P371" s="11">
        <f t="shared" si="52"/>
        <v>0</v>
      </c>
      <c r="Q371" s="11"/>
      <c r="R371" s="11"/>
      <c r="S371" s="11"/>
      <c r="T371" s="11"/>
      <c r="U371" s="27">
        <v>0.5</v>
      </c>
      <c r="V371" s="11"/>
      <c r="X371" s="11">
        <f t="shared" si="47"/>
        <v>5.3472222222222199E-2</v>
      </c>
      <c r="Y371" t="s">
        <v>535</v>
      </c>
    </row>
    <row r="372" spans="1:25" outlineLevel="1" x14ac:dyDescent="0.15">
      <c r="A372" s="3">
        <v>37926</v>
      </c>
      <c r="B372" s="3" t="str">
        <f>VLOOKUP(F372, Aircraft!A$2:C$99, 2, FALSE)</f>
        <v>PA23</v>
      </c>
      <c r="C372" t="str">
        <f>VLOOKUP(F372, Aircraft!A$2:C$99, 3, FALSE)</f>
        <v>T</v>
      </c>
      <c r="D372" t="str">
        <f t="shared" si="48"/>
        <v>T</v>
      </c>
      <c r="E372" t="str">
        <f t="shared" si="46"/>
        <v>PA23</v>
      </c>
      <c r="F372" t="s">
        <v>347</v>
      </c>
      <c r="G372" t="s">
        <v>83</v>
      </c>
      <c r="H372" s="2" t="str">
        <f t="shared" si="53"/>
        <v>PUT</v>
      </c>
      <c r="I372" t="s">
        <v>250</v>
      </c>
      <c r="J372" t="s">
        <v>250</v>
      </c>
      <c r="K372" s="4">
        <v>0.3888888888888889</v>
      </c>
      <c r="L372" s="4">
        <v>0.41319444444444442</v>
      </c>
      <c r="M372" s="11">
        <f t="shared" si="49"/>
        <v>0</v>
      </c>
      <c r="N372" s="11">
        <f t="shared" si="50"/>
        <v>0</v>
      </c>
      <c r="O372" s="11">
        <f t="shared" si="51"/>
        <v>0</v>
      </c>
      <c r="P372" s="11">
        <f t="shared" si="52"/>
        <v>2.4305555555555525E-2</v>
      </c>
      <c r="Q372" s="11"/>
      <c r="R372" s="11"/>
      <c r="S372" s="11"/>
      <c r="T372" s="11"/>
      <c r="V372" s="11"/>
      <c r="X372" s="11">
        <f t="shared" si="47"/>
        <v>2.4305555555555525E-2</v>
      </c>
    </row>
    <row r="373" spans="1:25" outlineLevel="1" x14ac:dyDescent="0.15">
      <c r="A373" s="3">
        <v>37926</v>
      </c>
      <c r="B373" s="3" t="str">
        <f>VLOOKUP(F373, Aircraft!A$2:C$99, 2, FALSE)</f>
        <v>PA23</v>
      </c>
      <c r="C373" t="str">
        <f>VLOOKUP(F373, Aircraft!A$2:C$99, 3, FALSE)</f>
        <v>T</v>
      </c>
      <c r="D373" t="str">
        <f t="shared" si="48"/>
        <v>T</v>
      </c>
      <c r="E373" t="str">
        <f t="shared" si="46"/>
        <v>PA23</v>
      </c>
      <c r="F373" t="s">
        <v>347</v>
      </c>
      <c r="G373" t="s">
        <v>191</v>
      </c>
      <c r="H373" s="2" t="str">
        <f t="shared" si="53"/>
        <v>P1</v>
      </c>
      <c r="I373" t="s">
        <v>250</v>
      </c>
      <c r="J373" t="s">
        <v>250</v>
      </c>
      <c r="K373" s="4">
        <v>0.48541666666666666</v>
      </c>
      <c r="L373" s="4">
        <v>0.5083333333333333</v>
      </c>
      <c r="M373" s="11">
        <f t="shared" si="49"/>
        <v>0</v>
      </c>
      <c r="N373" s="11">
        <f t="shared" si="50"/>
        <v>0</v>
      </c>
      <c r="O373" s="11">
        <f t="shared" si="51"/>
        <v>2.2916666666666641E-2</v>
      </c>
      <c r="P373" s="11">
        <f t="shared" si="52"/>
        <v>0</v>
      </c>
      <c r="Q373" s="11"/>
      <c r="R373" s="11"/>
      <c r="S373" s="11"/>
      <c r="T373" s="11"/>
      <c r="V373" s="11"/>
      <c r="X373" s="11">
        <f t="shared" si="47"/>
        <v>2.2916666666666641E-2</v>
      </c>
      <c r="Y373" t="s">
        <v>575</v>
      </c>
    </row>
    <row r="374" spans="1:25" outlineLevel="1" x14ac:dyDescent="0.15">
      <c r="A374" s="3">
        <v>37926</v>
      </c>
      <c r="B374" s="3" t="str">
        <f>VLOOKUP(F374, Aircraft!A$2:C$99, 2, FALSE)</f>
        <v>PA23</v>
      </c>
      <c r="C374" t="str">
        <f>VLOOKUP(F374, Aircraft!A$2:C$99, 3, FALSE)</f>
        <v>T</v>
      </c>
      <c r="D374" t="str">
        <f t="shared" si="48"/>
        <v>T</v>
      </c>
      <c r="E374" t="str">
        <f t="shared" si="46"/>
        <v>PA23</v>
      </c>
      <c r="F374" t="s">
        <v>347</v>
      </c>
      <c r="G374" t="s">
        <v>191</v>
      </c>
      <c r="H374" s="2" t="str">
        <f t="shared" si="53"/>
        <v>P1</v>
      </c>
      <c r="I374" t="s">
        <v>250</v>
      </c>
      <c r="J374" t="s">
        <v>64</v>
      </c>
      <c r="K374" s="4">
        <v>0.53888888888888886</v>
      </c>
      <c r="L374" s="4">
        <v>0.64027777777777783</v>
      </c>
      <c r="M374" s="11">
        <f t="shared" si="49"/>
        <v>0</v>
      </c>
      <c r="N374" s="11">
        <f t="shared" si="50"/>
        <v>0</v>
      </c>
      <c r="O374" s="11">
        <f t="shared" si="51"/>
        <v>0.10138888888888897</v>
      </c>
      <c r="P374" s="11">
        <f t="shared" si="52"/>
        <v>0</v>
      </c>
      <c r="Q374" s="11"/>
      <c r="R374" s="11"/>
      <c r="S374" s="11"/>
      <c r="T374" s="11"/>
      <c r="V374" s="11"/>
      <c r="X374" s="11">
        <f t="shared" si="47"/>
        <v>0.10138888888888897</v>
      </c>
      <c r="Y374" t="s">
        <v>576</v>
      </c>
    </row>
    <row r="375" spans="1:25" outlineLevel="1" x14ac:dyDescent="0.15">
      <c r="A375" s="3">
        <v>37927</v>
      </c>
      <c r="B375" s="3" t="str">
        <f>VLOOKUP(F375, Aircraft!A$2:C$99, 2, FALSE)</f>
        <v>PA23</v>
      </c>
      <c r="C375" t="str">
        <f>VLOOKUP(F375, Aircraft!A$2:C$99, 3, FALSE)</f>
        <v>T</v>
      </c>
      <c r="D375" t="str">
        <f t="shared" si="48"/>
        <v>T</v>
      </c>
      <c r="E375" t="str">
        <f t="shared" si="46"/>
        <v>PA23</v>
      </c>
      <c r="F375" t="s">
        <v>347</v>
      </c>
      <c r="G375" t="s">
        <v>191</v>
      </c>
      <c r="H375" s="2" t="str">
        <f t="shared" si="53"/>
        <v>P1</v>
      </c>
      <c r="I375" t="s">
        <v>64</v>
      </c>
      <c r="J375" t="s">
        <v>250</v>
      </c>
      <c r="K375" s="4">
        <v>0.63541666666666663</v>
      </c>
      <c r="L375" s="4">
        <v>0.72499999999999998</v>
      </c>
      <c r="M375" s="11">
        <f t="shared" si="49"/>
        <v>0</v>
      </c>
      <c r="N375" s="11">
        <f t="shared" si="50"/>
        <v>0</v>
      </c>
      <c r="O375" s="11">
        <f>105/60/24</f>
        <v>7.2916666666666671E-2</v>
      </c>
      <c r="P375" s="11">
        <f t="shared" si="52"/>
        <v>0</v>
      </c>
      <c r="Q375" s="11"/>
      <c r="R375" s="11"/>
      <c r="S375" s="11">
        <f>24/60/24</f>
        <v>1.6666666666666666E-2</v>
      </c>
      <c r="T375" s="11"/>
      <c r="U375" s="27">
        <v>0.5</v>
      </c>
      <c r="V375" s="11"/>
      <c r="X375" s="11">
        <f t="shared" si="47"/>
        <v>8.9583333333333334E-2</v>
      </c>
    </row>
    <row r="376" spans="1:25" x14ac:dyDescent="0.15">
      <c r="O376" s="11"/>
      <c r="P376" s="11"/>
      <c r="Q376" s="11"/>
      <c r="R376" s="11"/>
      <c r="S376" s="11"/>
      <c r="T376" s="11"/>
      <c r="V376" s="11"/>
      <c r="X376" s="11"/>
    </row>
    <row r="377" spans="1:25" outlineLevel="1" x14ac:dyDescent="0.15">
      <c r="A377" s="3">
        <v>38010</v>
      </c>
      <c r="B377" s="3" t="str">
        <f>VLOOKUP(F377, Aircraft!A$2:C$99, 2, FALSE)</f>
        <v>PA34</v>
      </c>
      <c r="C377" t="str">
        <f>VLOOKUP(F377, Aircraft!A$2:C$99, 3, FALSE)</f>
        <v>T</v>
      </c>
      <c r="D377" t="str">
        <f t="shared" si="48"/>
        <v>T</v>
      </c>
      <c r="E377" t="str">
        <f t="shared" si="46"/>
        <v>PA34</v>
      </c>
      <c r="F377" t="s">
        <v>307</v>
      </c>
      <c r="G377" t="s">
        <v>577</v>
      </c>
      <c r="H377" s="2" t="str">
        <f t="shared" si="53"/>
        <v>PUT</v>
      </c>
      <c r="I377" t="s">
        <v>356</v>
      </c>
      <c r="J377" t="s">
        <v>356</v>
      </c>
      <c r="K377" s="4">
        <v>0.41666666666666669</v>
      </c>
      <c r="L377" s="4">
        <v>0.50347222222222221</v>
      </c>
      <c r="M377" s="11">
        <f t="shared" si="49"/>
        <v>0</v>
      </c>
      <c r="N377" s="11">
        <f t="shared" si="50"/>
        <v>0</v>
      </c>
      <c r="O377" s="11">
        <f t="shared" ref="O377:O467" si="54">IF(AND(H377="P1", D377="T"), L377-K377, 0)</f>
        <v>0</v>
      </c>
      <c r="P377" s="11">
        <f t="shared" si="52"/>
        <v>8.6805555555555525E-2</v>
      </c>
      <c r="Q377" s="11"/>
      <c r="R377" s="11"/>
      <c r="S377" s="11"/>
      <c r="T377" s="11"/>
      <c r="U377" s="27">
        <v>1.8</v>
      </c>
      <c r="V377" s="11"/>
      <c r="X377" s="11">
        <f t="shared" si="47"/>
        <v>8.6805555555555525E-2</v>
      </c>
      <c r="Y377" t="s">
        <v>578</v>
      </c>
    </row>
    <row r="378" spans="1:25" outlineLevel="1" x14ac:dyDescent="0.15">
      <c r="A378" s="3">
        <v>38010</v>
      </c>
      <c r="B378" s="3" t="str">
        <f>VLOOKUP(F378, Aircraft!A$2:C$99, 2, FALSE)</f>
        <v>PA34</v>
      </c>
      <c r="C378" t="str">
        <f>VLOOKUP(F378, Aircraft!A$2:C$99, 3, FALSE)</f>
        <v>T</v>
      </c>
      <c r="D378" t="str">
        <f t="shared" si="48"/>
        <v>T</v>
      </c>
      <c r="E378" t="str">
        <f t="shared" si="46"/>
        <v>PA34</v>
      </c>
      <c r="F378" t="s">
        <v>307</v>
      </c>
      <c r="G378" t="s">
        <v>577</v>
      </c>
      <c r="H378" s="2" t="str">
        <f t="shared" si="53"/>
        <v>PUT</v>
      </c>
      <c r="I378" t="s">
        <v>356</v>
      </c>
      <c r="J378" t="s">
        <v>356</v>
      </c>
      <c r="K378" s="4">
        <v>0.59722222222222221</v>
      </c>
      <c r="L378" s="4">
        <v>0.66666666666666663</v>
      </c>
      <c r="M378" s="11">
        <f t="shared" si="49"/>
        <v>0</v>
      </c>
      <c r="N378" s="11">
        <f t="shared" si="50"/>
        <v>0</v>
      </c>
      <c r="O378" s="11">
        <f t="shared" si="51"/>
        <v>0</v>
      </c>
      <c r="P378" s="11">
        <f t="shared" si="52"/>
        <v>6.944444444444442E-2</v>
      </c>
      <c r="Q378" s="11"/>
      <c r="R378" s="11"/>
      <c r="S378" s="11"/>
      <c r="T378" s="11"/>
      <c r="U378" s="27">
        <v>1.5</v>
      </c>
      <c r="V378" s="11"/>
      <c r="X378" s="11">
        <f t="shared" si="47"/>
        <v>6.944444444444442E-2</v>
      </c>
      <c r="Y378" t="s">
        <v>383</v>
      </c>
    </row>
    <row r="379" spans="1:25" outlineLevel="1" x14ac:dyDescent="0.15">
      <c r="A379" s="3">
        <v>38055</v>
      </c>
      <c r="B379" s="3" t="str">
        <f>VLOOKUP(F379, Aircraft!A$2:C$99, 2, FALSE)</f>
        <v>PA34</v>
      </c>
      <c r="C379" t="str">
        <f>VLOOKUP(F379, Aircraft!A$2:C$99, 3, FALSE)</f>
        <v>T</v>
      </c>
      <c r="D379" t="str">
        <f t="shared" si="48"/>
        <v>T</v>
      </c>
      <c r="E379" t="str">
        <f t="shared" si="46"/>
        <v>PA34</v>
      </c>
      <c r="F379" t="s">
        <v>224</v>
      </c>
      <c r="G379" t="s">
        <v>191</v>
      </c>
      <c r="H379" s="2" t="str">
        <f t="shared" si="53"/>
        <v>P1</v>
      </c>
      <c r="I379" t="s">
        <v>250</v>
      </c>
      <c r="J379" t="s">
        <v>250</v>
      </c>
      <c r="K379" s="4">
        <v>0.64236111111111105</v>
      </c>
      <c r="L379" s="4">
        <v>0.69791666666666663</v>
      </c>
      <c r="M379" s="11">
        <f t="shared" si="49"/>
        <v>0</v>
      </c>
      <c r="N379" s="11">
        <f t="shared" si="50"/>
        <v>0</v>
      </c>
      <c r="O379" s="11">
        <f t="shared" si="51"/>
        <v>5.555555555555558E-2</v>
      </c>
      <c r="P379" s="11">
        <f t="shared" si="52"/>
        <v>0</v>
      </c>
      <c r="Q379" s="11"/>
      <c r="R379" s="11"/>
      <c r="S379" s="11"/>
      <c r="T379" s="11"/>
      <c r="V379" s="11"/>
      <c r="X379" s="11">
        <f t="shared" si="47"/>
        <v>5.555555555555558E-2</v>
      </c>
    </row>
    <row r="380" spans="1:25" outlineLevel="1" x14ac:dyDescent="0.15">
      <c r="A380" s="3">
        <v>38056</v>
      </c>
      <c r="B380" s="3" t="str">
        <f>VLOOKUP(F380, Aircraft!A$2:C$99, 2, FALSE)</f>
        <v>PA34</v>
      </c>
      <c r="C380" t="str">
        <f>VLOOKUP(F380, Aircraft!A$2:C$99, 3, FALSE)</f>
        <v>T</v>
      </c>
      <c r="D380" t="str">
        <f t="shared" si="48"/>
        <v>T</v>
      </c>
      <c r="E380" t="str">
        <f t="shared" si="46"/>
        <v>PA34</v>
      </c>
      <c r="F380" t="s">
        <v>224</v>
      </c>
      <c r="G380" t="s">
        <v>191</v>
      </c>
      <c r="H380" s="2" t="str">
        <f t="shared" si="53"/>
        <v>P1</v>
      </c>
      <c r="I380" t="s">
        <v>250</v>
      </c>
      <c r="J380" t="s">
        <v>62</v>
      </c>
      <c r="K380" s="4">
        <v>0.64236111111111105</v>
      </c>
      <c r="L380" s="4">
        <v>0.69097222222222221</v>
      </c>
      <c r="M380" s="11">
        <f t="shared" si="49"/>
        <v>0</v>
      </c>
      <c r="N380" s="11">
        <f t="shared" si="50"/>
        <v>0</v>
      </c>
      <c r="O380" s="11">
        <f t="shared" si="51"/>
        <v>4.861111111111116E-2</v>
      </c>
      <c r="P380" s="11">
        <f t="shared" si="52"/>
        <v>0</v>
      </c>
      <c r="Q380" s="11"/>
      <c r="R380" s="11"/>
      <c r="S380" s="11"/>
      <c r="T380" s="11"/>
      <c r="V380" s="11"/>
      <c r="X380" s="11">
        <f t="shared" si="47"/>
        <v>4.861111111111116E-2</v>
      </c>
    </row>
    <row r="381" spans="1:25" outlineLevel="1" x14ac:dyDescent="0.15">
      <c r="A381" s="3">
        <v>38057</v>
      </c>
      <c r="B381" s="3" t="str">
        <f>VLOOKUP(F381, Aircraft!A$2:C$99, 2, FALSE)</f>
        <v>PA34</v>
      </c>
      <c r="C381" t="str">
        <f>VLOOKUP(F381, Aircraft!A$2:C$99, 3, FALSE)</f>
        <v>T</v>
      </c>
      <c r="D381" t="str">
        <f t="shared" si="48"/>
        <v>T</v>
      </c>
      <c r="E381" t="str">
        <f t="shared" si="46"/>
        <v>PA34</v>
      </c>
      <c r="F381" t="s">
        <v>224</v>
      </c>
      <c r="G381" t="s">
        <v>191</v>
      </c>
      <c r="H381" s="2" t="str">
        <f t="shared" si="53"/>
        <v>P1</v>
      </c>
      <c r="I381" t="s">
        <v>62</v>
      </c>
      <c r="J381" t="s">
        <v>250</v>
      </c>
      <c r="K381" s="4">
        <v>0.64236111111111105</v>
      </c>
      <c r="L381" s="4">
        <v>0.68402777777777779</v>
      </c>
      <c r="M381" s="11">
        <f t="shared" si="49"/>
        <v>0</v>
      </c>
      <c r="N381" s="11">
        <f t="shared" si="50"/>
        <v>0</v>
      </c>
      <c r="O381" s="11">
        <f t="shared" si="51"/>
        <v>4.1666666666666741E-2</v>
      </c>
      <c r="P381" s="11">
        <f t="shared" si="52"/>
        <v>0</v>
      </c>
      <c r="Q381" s="11"/>
      <c r="R381" s="11"/>
      <c r="S381" s="11"/>
      <c r="T381" s="11"/>
      <c r="V381" s="11"/>
      <c r="X381" s="11">
        <f t="shared" si="47"/>
        <v>4.1666666666666741E-2</v>
      </c>
    </row>
    <row r="382" spans="1:25" outlineLevel="1" x14ac:dyDescent="0.15">
      <c r="A382" s="3">
        <v>38059</v>
      </c>
      <c r="B382" s="3" t="str">
        <f>VLOOKUP(F382, Aircraft!A$2:C$99, 2, FALSE)</f>
        <v>PA34</v>
      </c>
      <c r="C382" t="str">
        <f>VLOOKUP(F382, Aircraft!A$2:C$99, 3, FALSE)</f>
        <v>T</v>
      </c>
      <c r="D382" t="str">
        <f t="shared" si="48"/>
        <v>T</v>
      </c>
      <c r="E382" t="str">
        <f t="shared" si="46"/>
        <v>PA34</v>
      </c>
      <c r="F382" t="s">
        <v>307</v>
      </c>
      <c r="G382" t="s">
        <v>326</v>
      </c>
      <c r="H382" s="2" t="str">
        <f t="shared" si="53"/>
        <v>PUT</v>
      </c>
      <c r="I382" t="s">
        <v>356</v>
      </c>
      <c r="J382" t="s">
        <v>356</v>
      </c>
      <c r="K382" s="4">
        <v>0.53472222222222221</v>
      </c>
      <c r="L382" s="4">
        <v>0.625</v>
      </c>
      <c r="M382" s="11">
        <f t="shared" si="49"/>
        <v>0</v>
      </c>
      <c r="N382" s="11">
        <f t="shared" si="50"/>
        <v>0</v>
      </c>
      <c r="O382" s="11">
        <f t="shared" si="51"/>
        <v>0</v>
      </c>
      <c r="P382" s="11">
        <f t="shared" si="52"/>
        <v>9.027777777777779E-2</v>
      </c>
      <c r="Q382" s="11"/>
      <c r="R382" s="11"/>
      <c r="S382" s="11"/>
      <c r="T382" s="11"/>
      <c r="U382" s="27">
        <v>1.9</v>
      </c>
      <c r="V382" s="11"/>
      <c r="X382" s="11">
        <f t="shared" si="47"/>
        <v>9.027777777777779E-2</v>
      </c>
      <c r="Y382" t="s">
        <v>384</v>
      </c>
    </row>
    <row r="383" spans="1:25" outlineLevel="1" x14ac:dyDescent="0.15">
      <c r="A383" s="3">
        <v>38060</v>
      </c>
      <c r="B383" s="3" t="str">
        <f>VLOOKUP(F383, Aircraft!A$2:C$99, 2, FALSE)</f>
        <v>PA28</v>
      </c>
      <c r="C383" t="str">
        <f>VLOOKUP(F383, Aircraft!A$2:C$99, 3, FALSE)</f>
        <v>S</v>
      </c>
      <c r="D383" t="str">
        <f t="shared" si="48"/>
        <v>S</v>
      </c>
      <c r="E383" t="str">
        <f t="shared" si="46"/>
        <v>PA28</v>
      </c>
      <c r="F383" t="s">
        <v>319</v>
      </c>
      <c r="G383" t="s">
        <v>83</v>
      </c>
      <c r="H383" s="2" t="str">
        <f t="shared" si="53"/>
        <v>PUT</v>
      </c>
      <c r="I383" t="s">
        <v>250</v>
      </c>
      <c r="J383" t="s">
        <v>250</v>
      </c>
      <c r="K383" s="4">
        <v>0.46527777777777773</v>
      </c>
      <c r="L383" s="4">
        <v>0.51388888888888895</v>
      </c>
      <c r="M383" s="11">
        <f t="shared" si="49"/>
        <v>0</v>
      </c>
      <c r="N383" s="11">
        <f t="shared" si="50"/>
        <v>4.8611111111111216E-2</v>
      </c>
      <c r="O383" s="11">
        <f t="shared" si="51"/>
        <v>0</v>
      </c>
      <c r="P383" s="11">
        <f t="shared" si="52"/>
        <v>0</v>
      </c>
      <c r="Q383" s="11"/>
      <c r="R383" s="11"/>
      <c r="S383" s="11"/>
      <c r="T383" s="11"/>
      <c r="V383" s="11"/>
      <c r="X383" s="11">
        <f t="shared" si="47"/>
        <v>4.8611111111111216E-2</v>
      </c>
      <c r="Y383" t="s">
        <v>385</v>
      </c>
    </row>
    <row r="384" spans="1:25" outlineLevel="1" x14ac:dyDescent="0.15">
      <c r="A384" s="3">
        <v>38114</v>
      </c>
      <c r="B384" s="3" t="str">
        <f>VLOOKUP(F384, Aircraft!A$2:C$99, 2, FALSE)</f>
        <v>PA34</v>
      </c>
      <c r="C384" t="str">
        <f>VLOOKUP(F384, Aircraft!A$2:C$99, 3, FALSE)</f>
        <v>T</v>
      </c>
      <c r="D384" t="str">
        <f t="shared" si="48"/>
        <v>T</v>
      </c>
      <c r="E384" t="str">
        <f t="shared" si="46"/>
        <v>PA34</v>
      </c>
      <c r="F384" t="s">
        <v>386</v>
      </c>
      <c r="G384" t="s">
        <v>577</v>
      </c>
      <c r="H384" s="2" t="str">
        <f t="shared" si="53"/>
        <v>PUT</v>
      </c>
      <c r="I384" t="s">
        <v>356</v>
      </c>
      <c r="J384" t="s">
        <v>356</v>
      </c>
      <c r="K384" s="4">
        <v>0.69097222222222221</v>
      </c>
      <c r="L384" s="4">
        <v>0.76388888888888884</v>
      </c>
      <c r="M384" s="11">
        <f t="shared" si="49"/>
        <v>0</v>
      </c>
      <c r="N384" s="11">
        <f t="shared" si="50"/>
        <v>0</v>
      </c>
      <c r="O384" s="11">
        <f t="shared" si="51"/>
        <v>0</v>
      </c>
      <c r="P384" s="11">
        <f t="shared" si="52"/>
        <v>7.291666666666663E-2</v>
      </c>
      <c r="Q384" s="11"/>
      <c r="R384" s="11"/>
      <c r="S384" s="11"/>
      <c r="T384" s="11"/>
      <c r="V384" s="11"/>
      <c r="X384" s="11">
        <f t="shared" si="47"/>
        <v>7.291666666666663E-2</v>
      </c>
      <c r="Y384" t="s">
        <v>387</v>
      </c>
    </row>
    <row r="385" spans="1:25" outlineLevel="1" x14ac:dyDescent="0.15">
      <c r="A385" s="3">
        <v>38115</v>
      </c>
      <c r="B385" s="3" t="str">
        <f>VLOOKUP(F385, Aircraft!A$2:C$99, 2, FALSE)</f>
        <v>PA34</v>
      </c>
      <c r="C385" t="str">
        <f>VLOOKUP(F385, Aircraft!A$2:C$99, 3, FALSE)</f>
        <v>T</v>
      </c>
      <c r="D385" t="str">
        <f t="shared" si="48"/>
        <v>T</v>
      </c>
      <c r="E385" t="str">
        <f t="shared" si="46"/>
        <v>PA34</v>
      </c>
      <c r="F385" t="s">
        <v>386</v>
      </c>
      <c r="G385" t="s">
        <v>577</v>
      </c>
      <c r="H385" s="2" t="str">
        <f t="shared" si="53"/>
        <v>PUT</v>
      </c>
      <c r="I385" t="s">
        <v>356</v>
      </c>
      <c r="J385" t="s">
        <v>356</v>
      </c>
      <c r="K385" s="4">
        <v>0.40277777777777773</v>
      </c>
      <c r="L385" s="4">
        <v>0.47222222222222227</v>
      </c>
      <c r="M385" s="11">
        <f t="shared" si="49"/>
        <v>0</v>
      </c>
      <c r="N385" s="11">
        <f t="shared" si="50"/>
        <v>0</v>
      </c>
      <c r="O385" s="11">
        <f t="shared" si="51"/>
        <v>0</v>
      </c>
      <c r="P385" s="11">
        <f t="shared" si="52"/>
        <v>6.9444444444444531E-2</v>
      </c>
      <c r="Q385" s="11"/>
      <c r="R385" s="11"/>
      <c r="S385" s="11"/>
      <c r="T385" s="11"/>
      <c r="U385" s="27">
        <v>1.5</v>
      </c>
      <c r="V385" s="11"/>
      <c r="X385" s="11">
        <f t="shared" si="47"/>
        <v>6.9444444444444531E-2</v>
      </c>
      <c r="Y385" t="s">
        <v>388</v>
      </c>
    </row>
    <row r="386" spans="1:25" outlineLevel="1" x14ac:dyDescent="0.15">
      <c r="A386" s="3">
        <v>38130</v>
      </c>
      <c r="B386" s="3" t="str">
        <f>VLOOKUP(F386, Aircraft!A$2:C$99, 2, FALSE)</f>
        <v>PA28</v>
      </c>
      <c r="C386" t="str">
        <f>VLOOKUP(F386, Aircraft!A$2:C$99, 3, FALSE)</f>
        <v>S</v>
      </c>
      <c r="D386" t="str">
        <f t="shared" si="48"/>
        <v>S</v>
      </c>
      <c r="E386" t="str">
        <f t="shared" si="46"/>
        <v>PA28</v>
      </c>
      <c r="F386" t="s">
        <v>493</v>
      </c>
      <c r="G386" t="s">
        <v>191</v>
      </c>
      <c r="H386" s="2" t="str">
        <f t="shared" si="53"/>
        <v>P1</v>
      </c>
      <c r="I386" t="s">
        <v>250</v>
      </c>
      <c r="J386" t="s">
        <v>4</v>
      </c>
      <c r="K386" s="4">
        <v>0.34722222222222227</v>
      </c>
      <c r="L386" s="4">
        <v>0.40972222222222227</v>
      </c>
      <c r="M386" s="11">
        <f t="shared" si="49"/>
        <v>6.25E-2</v>
      </c>
      <c r="N386" s="11">
        <f t="shared" si="50"/>
        <v>0</v>
      </c>
      <c r="O386" s="11">
        <f t="shared" si="51"/>
        <v>0</v>
      </c>
      <c r="P386" s="11">
        <f t="shared" si="52"/>
        <v>0</v>
      </c>
      <c r="Q386" s="11"/>
      <c r="R386" s="11"/>
      <c r="S386" s="11"/>
      <c r="T386" s="11"/>
      <c r="V386" s="11"/>
      <c r="X386" s="11">
        <f t="shared" si="47"/>
        <v>6.25E-2</v>
      </c>
      <c r="Y386" t="s">
        <v>389</v>
      </c>
    </row>
    <row r="387" spans="1:25" outlineLevel="1" x14ac:dyDescent="0.15">
      <c r="A387" s="3">
        <v>38130</v>
      </c>
      <c r="B387" s="3" t="str">
        <f>VLOOKUP(F387, Aircraft!A$2:C$99, 2, FALSE)</f>
        <v>PA28</v>
      </c>
      <c r="C387" t="str">
        <f>VLOOKUP(F387, Aircraft!A$2:C$99, 3, FALSE)</f>
        <v>S</v>
      </c>
      <c r="D387" t="str">
        <f t="shared" si="48"/>
        <v>S</v>
      </c>
      <c r="E387" t="str">
        <f t="shared" si="46"/>
        <v>PA28</v>
      </c>
      <c r="F387" t="s">
        <v>493</v>
      </c>
      <c r="G387" t="s">
        <v>191</v>
      </c>
      <c r="H387" s="2" t="str">
        <f t="shared" si="53"/>
        <v>P1</v>
      </c>
      <c r="I387" t="s">
        <v>4</v>
      </c>
      <c r="J387" t="s">
        <v>250</v>
      </c>
      <c r="K387" s="4">
        <v>0.42222222222222222</v>
      </c>
      <c r="L387" s="4">
        <v>0.45069444444444445</v>
      </c>
      <c r="M387" s="11">
        <f t="shared" si="49"/>
        <v>2.8472222222222232E-2</v>
      </c>
      <c r="N387" s="11">
        <f t="shared" si="50"/>
        <v>0</v>
      </c>
      <c r="O387" s="11">
        <f t="shared" si="51"/>
        <v>0</v>
      </c>
      <c r="P387" s="11">
        <f t="shared" si="52"/>
        <v>0</v>
      </c>
      <c r="Q387" s="11"/>
      <c r="R387" s="11"/>
      <c r="S387" s="11"/>
      <c r="T387" s="11"/>
      <c r="V387" s="11"/>
      <c r="X387" s="11">
        <f t="shared" si="47"/>
        <v>2.8472222222222232E-2</v>
      </c>
    </row>
    <row r="388" spans="1:25" outlineLevel="1" x14ac:dyDescent="0.15">
      <c r="A388" s="3">
        <v>38149</v>
      </c>
      <c r="B388" s="3" t="str">
        <f>VLOOKUP(F388, Aircraft!A$2:C$99, 2, FALSE)</f>
        <v>PA34</v>
      </c>
      <c r="C388" t="str">
        <f>VLOOKUP(F388, Aircraft!A$2:C$99, 3, FALSE)</f>
        <v>T</v>
      </c>
      <c r="D388" t="str">
        <f t="shared" si="48"/>
        <v>T</v>
      </c>
      <c r="E388" t="str">
        <f t="shared" si="46"/>
        <v>PA34</v>
      </c>
      <c r="F388" t="s">
        <v>386</v>
      </c>
      <c r="G388" t="s">
        <v>577</v>
      </c>
      <c r="H388" s="2" t="str">
        <f t="shared" si="53"/>
        <v>PUT</v>
      </c>
      <c r="I388" t="s">
        <v>356</v>
      </c>
      <c r="J388" t="s">
        <v>356</v>
      </c>
      <c r="K388" s="4">
        <v>0.43333333333333335</v>
      </c>
      <c r="L388" s="15">
        <v>0.51597222222222217</v>
      </c>
      <c r="M388" s="11">
        <f t="shared" si="49"/>
        <v>0</v>
      </c>
      <c r="N388" s="11">
        <f t="shared" si="50"/>
        <v>0</v>
      </c>
      <c r="O388" s="11">
        <f t="shared" si="51"/>
        <v>0</v>
      </c>
      <c r="P388" s="11">
        <f t="shared" si="52"/>
        <v>8.2638888888888817E-2</v>
      </c>
      <c r="Q388" s="11"/>
      <c r="R388" s="11"/>
      <c r="S388" s="11"/>
      <c r="T388" s="11"/>
      <c r="U388" s="27">
        <v>1.7</v>
      </c>
      <c r="V388" s="11"/>
      <c r="X388" s="11">
        <f t="shared" si="47"/>
        <v>8.2638888888888817E-2</v>
      </c>
      <c r="Y388" t="s">
        <v>390</v>
      </c>
    </row>
    <row r="389" spans="1:25" outlineLevel="1" x14ac:dyDescent="0.15">
      <c r="A389" s="3">
        <v>38149</v>
      </c>
      <c r="B389" s="3" t="str">
        <f>VLOOKUP(F389, Aircraft!A$2:C$99, 2, FALSE)</f>
        <v>PA34</v>
      </c>
      <c r="C389" t="str">
        <f>VLOOKUP(F389, Aircraft!A$2:C$99, 3, FALSE)</f>
        <v>T</v>
      </c>
      <c r="D389" t="str">
        <f t="shared" si="48"/>
        <v>T</v>
      </c>
      <c r="E389" t="str">
        <f t="shared" si="46"/>
        <v>PA34</v>
      </c>
      <c r="F389" t="s">
        <v>386</v>
      </c>
      <c r="G389" t="s">
        <v>577</v>
      </c>
      <c r="H389" s="2" t="str">
        <f t="shared" si="53"/>
        <v>PUT</v>
      </c>
      <c r="I389" t="s">
        <v>356</v>
      </c>
      <c r="J389" t="s">
        <v>356</v>
      </c>
      <c r="K389" s="4">
        <v>0.55555555555555558</v>
      </c>
      <c r="L389" s="4">
        <v>0.58333333333333337</v>
      </c>
      <c r="M389" s="11">
        <f t="shared" si="49"/>
        <v>0</v>
      </c>
      <c r="N389" s="11">
        <f t="shared" si="50"/>
        <v>0</v>
      </c>
      <c r="O389" s="11">
        <f t="shared" si="51"/>
        <v>0</v>
      </c>
      <c r="P389" s="11">
        <f t="shared" si="52"/>
        <v>2.777777777777779E-2</v>
      </c>
      <c r="Q389" s="11"/>
      <c r="R389" s="11"/>
      <c r="S389" s="11"/>
      <c r="T389" s="11"/>
      <c r="U389" s="27">
        <v>0.4</v>
      </c>
      <c r="V389" s="11"/>
      <c r="X389" s="11">
        <f t="shared" si="47"/>
        <v>2.777777777777779E-2</v>
      </c>
      <c r="Y389" t="s">
        <v>758</v>
      </c>
    </row>
    <row r="390" spans="1:25" outlineLevel="1" x14ac:dyDescent="0.15">
      <c r="A390" s="3">
        <v>38151</v>
      </c>
      <c r="B390" s="3" t="str">
        <f>VLOOKUP(F390, Aircraft!A$2:C$99, 2, FALSE)</f>
        <v>PA34</v>
      </c>
      <c r="C390" t="str">
        <f>VLOOKUP(F390, Aircraft!A$2:C$99, 3, FALSE)</f>
        <v>T</v>
      </c>
      <c r="D390" t="str">
        <f t="shared" si="48"/>
        <v>T</v>
      </c>
      <c r="E390" t="str">
        <f t="shared" si="46"/>
        <v>PA34</v>
      </c>
      <c r="F390" t="s">
        <v>386</v>
      </c>
      <c r="G390" t="s">
        <v>191</v>
      </c>
      <c r="H390" s="2" t="str">
        <f t="shared" si="53"/>
        <v>P1</v>
      </c>
      <c r="I390" t="s">
        <v>356</v>
      </c>
      <c r="J390" t="s">
        <v>356</v>
      </c>
      <c r="K390" s="4">
        <v>0.60069444444444442</v>
      </c>
      <c r="L390" s="4">
        <v>0.63541666666666663</v>
      </c>
      <c r="M390" s="11">
        <f t="shared" si="49"/>
        <v>0</v>
      </c>
      <c r="N390" s="11">
        <f t="shared" si="50"/>
        <v>0</v>
      </c>
      <c r="O390" s="11">
        <f t="shared" si="51"/>
        <v>3.472222222222221E-2</v>
      </c>
      <c r="P390" s="11">
        <f t="shared" si="52"/>
        <v>0</v>
      </c>
      <c r="Q390" s="11"/>
      <c r="R390" s="11"/>
      <c r="S390" s="11"/>
      <c r="T390" s="11"/>
      <c r="U390" s="27">
        <v>0.6</v>
      </c>
      <c r="V390" s="11"/>
      <c r="X390" s="11">
        <f t="shared" si="47"/>
        <v>3.472222222222221E-2</v>
      </c>
      <c r="Y390" t="s">
        <v>759</v>
      </c>
    </row>
    <row r="391" spans="1:25" outlineLevel="1" x14ac:dyDescent="0.15">
      <c r="A391" s="3">
        <v>38158</v>
      </c>
      <c r="B391" s="3" t="str">
        <f>VLOOKUP(F391, Aircraft!A$2:C$99, 2, FALSE)</f>
        <v>PA34</v>
      </c>
      <c r="C391" t="str">
        <f>VLOOKUP(F391, Aircraft!A$2:C$99, 3, FALSE)</f>
        <v>T</v>
      </c>
      <c r="D391" t="str">
        <f t="shared" si="48"/>
        <v>T</v>
      </c>
      <c r="E391" t="str">
        <f t="shared" si="46"/>
        <v>PA34</v>
      </c>
      <c r="F391" t="s">
        <v>224</v>
      </c>
      <c r="G391" t="s">
        <v>191</v>
      </c>
      <c r="H391" s="2" t="str">
        <f t="shared" si="53"/>
        <v>P1</v>
      </c>
      <c r="I391" t="s">
        <v>250</v>
      </c>
      <c r="J391" t="s">
        <v>20</v>
      </c>
      <c r="K391" s="4">
        <v>0.375</v>
      </c>
      <c r="L391" s="4">
        <v>0.41666666666666669</v>
      </c>
      <c r="M391" s="11">
        <f t="shared" si="49"/>
        <v>0</v>
      </c>
      <c r="N391" s="11">
        <f t="shared" si="50"/>
        <v>0</v>
      </c>
      <c r="O391" s="11">
        <f t="shared" si="51"/>
        <v>4.1666666666666685E-2</v>
      </c>
      <c r="P391" s="11">
        <f t="shared" si="52"/>
        <v>0</v>
      </c>
      <c r="Q391" s="11"/>
      <c r="R391" s="11"/>
      <c r="S391" s="11"/>
      <c r="T391" s="11"/>
      <c r="V391" s="11"/>
      <c r="X391" s="11">
        <f t="shared" si="47"/>
        <v>4.1666666666666685E-2</v>
      </c>
    </row>
    <row r="392" spans="1:25" outlineLevel="1" x14ac:dyDescent="0.15">
      <c r="A392" s="3">
        <v>38158</v>
      </c>
      <c r="B392" s="3" t="str">
        <f>VLOOKUP(F392, Aircraft!A$2:C$99, 2, FALSE)</f>
        <v>PA34</v>
      </c>
      <c r="C392" t="str">
        <f>VLOOKUP(F392, Aircraft!A$2:C$99, 3, FALSE)</f>
        <v>T</v>
      </c>
      <c r="D392" t="str">
        <f t="shared" si="48"/>
        <v>T</v>
      </c>
      <c r="E392" t="str">
        <f t="shared" si="46"/>
        <v>PA34</v>
      </c>
      <c r="F392" t="s">
        <v>224</v>
      </c>
      <c r="G392" t="s">
        <v>191</v>
      </c>
      <c r="H392" s="2" t="str">
        <f t="shared" si="53"/>
        <v>P1</v>
      </c>
      <c r="I392" t="s">
        <v>20</v>
      </c>
      <c r="J392" t="s">
        <v>250</v>
      </c>
      <c r="K392" s="4">
        <v>0.60069444444444442</v>
      </c>
      <c r="L392" s="4">
        <v>0.63888888888888895</v>
      </c>
      <c r="M392" s="11">
        <f t="shared" si="49"/>
        <v>0</v>
      </c>
      <c r="N392" s="11">
        <f t="shared" si="50"/>
        <v>0</v>
      </c>
      <c r="O392" s="11">
        <f t="shared" si="51"/>
        <v>3.8194444444444531E-2</v>
      </c>
      <c r="P392" s="11">
        <f t="shared" si="52"/>
        <v>0</v>
      </c>
      <c r="Q392" s="11"/>
      <c r="R392" s="11"/>
      <c r="S392" s="11"/>
      <c r="T392" s="11"/>
      <c r="V392" s="11"/>
      <c r="X392" s="11">
        <f t="shared" si="47"/>
        <v>3.8194444444444531E-2</v>
      </c>
    </row>
    <row r="393" spans="1:25" outlineLevel="1" x14ac:dyDescent="0.15">
      <c r="A393" s="3">
        <v>38164</v>
      </c>
      <c r="B393" s="3" t="str">
        <f>VLOOKUP(F393, Aircraft!A$2:C$99, 2, FALSE)</f>
        <v>PA28</v>
      </c>
      <c r="C393" t="str">
        <f>VLOOKUP(F393, Aircraft!A$2:C$99, 3, FALSE)</f>
        <v>S</v>
      </c>
      <c r="D393" t="str">
        <f t="shared" si="48"/>
        <v>S</v>
      </c>
      <c r="E393" t="str">
        <f t="shared" si="46"/>
        <v>PA28</v>
      </c>
      <c r="F393" t="s">
        <v>319</v>
      </c>
      <c r="G393" t="s">
        <v>83</v>
      </c>
      <c r="H393" s="2" t="str">
        <f t="shared" si="53"/>
        <v>PUT</v>
      </c>
      <c r="I393" t="s">
        <v>250</v>
      </c>
      <c r="J393" t="s">
        <v>250</v>
      </c>
      <c r="K393" s="4">
        <v>0.41666666666666669</v>
      </c>
      <c r="L393" s="4">
        <v>0.44444444444444442</v>
      </c>
      <c r="M393" s="11">
        <f t="shared" si="49"/>
        <v>0</v>
      </c>
      <c r="N393" s="11">
        <f t="shared" si="50"/>
        <v>2.7777777777777735E-2</v>
      </c>
      <c r="O393" s="11">
        <f t="shared" si="51"/>
        <v>0</v>
      </c>
      <c r="P393" s="11">
        <f t="shared" si="52"/>
        <v>0</v>
      </c>
      <c r="Q393" s="11"/>
      <c r="R393" s="11"/>
      <c r="S393" s="11"/>
      <c r="T393" s="11"/>
      <c r="V393" s="11"/>
      <c r="X393" s="11">
        <f t="shared" si="47"/>
        <v>2.7777777777777735E-2</v>
      </c>
      <c r="Y393" t="s">
        <v>760</v>
      </c>
    </row>
    <row r="394" spans="1:25" outlineLevel="1" x14ac:dyDescent="0.15">
      <c r="A394" s="3">
        <v>38164</v>
      </c>
      <c r="B394" s="3" t="str">
        <f>VLOOKUP(F394, Aircraft!A$2:C$99, 2, FALSE)</f>
        <v>PA28</v>
      </c>
      <c r="C394" t="str">
        <f>VLOOKUP(F394, Aircraft!A$2:C$99, 3, FALSE)</f>
        <v>S</v>
      </c>
      <c r="D394" t="str">
        <f t="shared" si="48"/>
        <v>S</v>
      </c>
      <c r="E394" t="str">
        <f t="shared" si="46"/>
        <v>PA28</v>
      </c>
      <c r="F394" t="s">
        <v>319</v>
      </c>
      <c r="G394" t="s">
        <v>83</v>
      </c>
      <c r="H394" s="2" t="str">
        <f t="shared" si="53"/>
        <v>PUT</v>
      </c>
      <c r="I394" t="s">
        <v>250</v>
      </c>
      <c r="J394" t="s">
        <v>250</v>
      </c>
      <c r="K394" s="4">
        <v>0.51736111111111105</v>
      </c>
      <c r="L394" s="4">
        <v>0.54861111111111105</v>
      </c>
      <c r="M394" s="11">
        <f t="shared" si="49"/>
        <v>0</v>
      </c>
      <c r="N394" s="11">
        <f t="shared" si="50"/>
        <v>3.125E-2</v>
      </c>
      <c r="O394" s="11">
        <f t="shared" si="51"/>
        <v>0</v>
      </c>
      <c r="P394" s="11">
        <f t="shared" si="52"/>
        <v>0</v>
      </c>
      <c r="Q394" s="11"/>
      <c r="R394" s="11"/>
      <c r="S394" s="11"/>
      <c r="T394" s="11"/>
      <c r="V394" s="11"/>
      <c r="X394" s="11">
        <f t="shared" si="47"/>
        <v>3.125E-2</v>
      </c>
      <c r="Y394" t="s">
        <v>760</v>
      </c>
    </row>
    <row r="395" spans="1:25" outlineLevel="1" x14ac:dyDescent="0.15">
      <c r="A395" s="3">
        <v>38165</v>
      </c>
      <c r="B395" s="3" t="str">
        <f>VLOOKUP(F395, Aircraft!A$2:C$99, 2, FALSE)</f>
        <v>PA34</v>
      </c>
      <c r="C395" t="str">
        <f>VLOOKUP(F395, Aircraft!A$2:C$99, 3, FALSE)</f>
        <v>T</v>
      </c>
      <c r="D395" t="str">
        <f t="shared" si="48"/>
        <v>T</v>
      </c>
      <c r="E395" t="str">
        <f t="shared" si="46"/>
        <v>PA34</v>
      </c>
      <c r="F395" t="s">
        <v>224</v>
      </c>
      <c r="G395" t="s">
        <v>191</v>
      </c>
      <c r="H395" s="2" t="str">
        <f t="shared" si="53"/>
        <v>P1</v>
      </c>
      <c r="I395" t="s">
        <v>250</v>
      </c>
      <c r="J395" t="s">
        <v>20</v>
      </c>
      <c r="K395" s="4">
        <v>0.3576388888888889</v>
      </c>
      <c r="L395" s="4">
        <v>0.39583333333333331</v>
      </c>
      <c r="M395" s="11">
        <f t="shared" si="49"/>
        <v>0</v>
      </c>
      <c r="N395" s="11">
        <f t="shared" si="50"/>
        <v>0</v>
      </c>
      <c r="O395" s="11">
        <f t="shared" si="51"/>
        <v>3.819444444444442E-2</v>
      </c>
      <c r="P395" s="11">
        <f t="shared" si="52"/>
        <v>0</v>
      </c>
      <c r="Q395" s="11"/>
      <c r="R395" s="11"/>
      <c r="S395" s="11"/>
      <c r="T395" s="11"/>
      <c r="V395" s="11"/>
      <c r="X395" s="11">
        <f t="shared" si="47"/>
        <v>3.819444444444442E-2</v>
      </c>
      <c r="Y395" t="s">
        <v>539</v>
      </c>
    </row>
    <row r="396" spans="1:25" outlineLevel="1" x14ac:dyDescent="0.15">
      <c r="A396" s="3">
        <v>38166</v>
      </c>
      <c r="B396" s="3" t="str">
        <f>VLOOKUP(F396, Aircraft!A$2:C$99, 2, FALSE)</f>
        <v>PA34</v>
      </c>
      <c r="C396" t="str">
        <f>VLOOKUP(F396, Aircraft!A$2:C$99, 3, FALSE)</f>
        <v>T</v>
      </c>
      <c r="D396" t="str">
        <f t="shared" si="48"/>
        <v>T</v>
      </c>
      <c r="E396" t="str">
        <f t="shared" ref="E396:E460" si="55">IF(ISNA(B396), "", B396)</f>
        <v>PA34</v>
      </c>
      <c r="F396" t="s">
        <v>224</v>
      </c>
      <c r="G396" t="s">
        <v>191</v>
      </c>
      <c r="H396" s="2" t="str">
        <f t="shared" si="53"/>
        <v>P1</v>
      </c>
      <c r="I396" t="s">
        <v>20</v>
      </c>
      <c r="J396" t="s">
        <v>20</v>
      </c>
      <c r="K396" s="4">
        <v>0.4201388888888889</v>
      </c>
      <c r="L396" s="4">
        <v>0.46180555555555558</v>
      </c>
      <c r="M396" s="11">
        <f t="shared" si="49"/>
        <v>0</v>
      </c>
      <c r="N396" s="11">
        <f t="shared" si="50"/>
        <v>0</v>
      </c>
      <c r="O396" s="11">
        <f t="shared" si="51"/>
        <v>4.1666666666666685E-2</v>
      </c>
      <c r="P396" s="11">
        <f t="shared" si="52"/>
        <v>0</v>
      </c>
      <c r="Q396" s="11"/>
      <c r="R396" s="11"/>
      <c r="S396" s="11"/>
      <c r="T396" s="11"/>
      <c r="V396" s="11"/>
      <c r="X396" s="11">
        <f t="shared" si="47"/>
        <v>4.1666666666666685E-2</v>
      </c>
      <c r="Y396" t="s">
        <v>761</v>
      </c>
    </row>
    <row r="397" spans="1:25" outlineLevel="1" x14ac:dyDescent="0.15">
      <c r="A397" s="3">
        <v>38170</v>
      </c>
      <c r="B397" s="3" t="str">
        <f>VLOOKUP(F397, Aircraft!A$2:C$99, 2, FALSE)</f>
        <v>PA38</v>
      </c>
      <c r="C397" t="str">
        <f>VLOOKUP(F397, Aircraft!A$2:C$99, 3, FALSE)</f>
        <v>S</v>
      </c>
      <c r="D397" t="str">
        <f t="shared" si="48"/>
        <v>S</v>
      </c>
      <c r="E397" t="str">
        <f t="shared" si="55"/>
        <v>PA38</v>
      </c>
      <c r="F397" t="s">
        <v>540</v>
      </c>
      <c r="G397" t="s">
        <v>83</v>
      </c>
      <c r="H397" s="2" t="str">
        <f t="shared" si="53"/>
        <v>PUT</v>
      </c>
      <c r="I397" t="s">
        <v>250</v>
      </c>
      <c r="J397" t="s">
        <v>250</v>
      </c>
      <c r="K397" s="4">
        <v>0.65277777777777779</v>
      </c>
      <c r="L397" s="4">
        <v>0.6875</v>
      </c>
      <c r="M397" s="11">
        <f t="shared" si="49"/>
        <v>0</v>
      </c>
      <c r="N397" s="11">
        <f t="shared" si="50"/>
        <v>3.472222222222221E-2</v>
      </c>
      <c r="O397" s="11">
        <f t="shared" si="51"/>
        <v>0</v>
      </c>
      <c r="P397" s="11">
        <f t="shared" si="52"/>
        <v>0</v>
      </c>
      <c r="Q397" s="11"/>
      <c r="R397" s="11"/>
      <c r="S397" s="11"/>
      <c r="T397" s="11"/>
      <c r="V397" s="11"/>
      <c r="X397" s="11">
        <f t="shared" si="47"/>
        <v>3.472222222222221E-2</v>
      </c>
      <c r="Y397" t="s">
        <v>545</v>
      </c>
    </row>
    <row r="398" spans="1:25" outlineLevel="1" x14ac:dyDescent="0.15">
      <c r="A398" s="3">
        <v>38173</v>
      </c>
      <c r="B398" s="3" t="str">
        <f>VLOOKUP(F398, Aircraft!A$2:C$99, 2, FALSE)</f>
        <v>PA38</v>
      </c>
      <c r="C398" t="str">
        <f>VLOOKUP(F398, Aircraft!A$2:C$99, 3, FALSE)</f>
        <v>S</v>
      </c>
      <c r="D398" t="str">
        <f t="shared" si="48"/>
        <v>S</v>
      </c>
      <c r="E398" t="str">
        <f t="shared" si="55"/>
        <v>PA38</v>
      </c>
      <c r="F398" t="s">
        <v>540</v>
      </c>
      <c r="G398" t="s">
        <v>83</v>
      </c>
      <c r="H398" s="2" t="str">
        <f t="shared" si="53"/>
        <v>PUT</v>
      </c>
      <c r="I398" t="s">
        <v>250</v>
      </c>
      <c r="J398" t="s">
        <v>250</v>
      </c>
      <c r="K398" s="4">
        <v>0.61111111111111105</v>
      </c>
      <c r="L398" s="4">
        <v>0.66666666666666663</v>
      </c>
      <c r="M398" s="11">
        <f t="shared" si="49"/>
        <v>0</v>
      </c>
      <c r="N398" s="11">
        <f t="shared" si="50"/>
        <v>5.555555555555558E-2</v>
      </c>
      <c r="O398" s="11">
        <f t="shared" si="51"/>
        <v>0</v>
      </c>
      <c r="P398" s="11">
        <f t="shared" si="52"/>
        <v>0</v>
      </c>
      <c r="Q398" s="11"/>
      <c r="R398" s="11"/>
      <c r="S398" s="11"/>
      <c r="T398" s="11"/>
      <c r="V398" s="11"/>
      <c r="X398" s="11">
        <f t="shared" ref="X398:X462" si="56">SUM(M398:S398)</f>
        <v>5.555555555555558E-2</v>
      </c>
      <c r="Y398" t="s">
        <v>542</v>
      </c>
    </row>
    <row r="399" spans="1:25" outlineLevel="1" x14ac:dyDescent="0.15">
      <c r="A399" s="3">
        <v>38174</v>
      </c>
      <c r="B399" s="3" t="str">
        <f>VLOOKUP(F399, Aircraft!A$2:C$99, 2, FALSE)</f>
        <v>PA28</v>
      </c>
      <c r="C399" t="str">
        <f>VLOOKUP(F399, Aircraft!A$2:C$99, 3, FALSE)</f>
        <v>S</v>
      </c>
      <c r="D399" t="str">
        <f t="shared" si="48"/>
        <v>S</v>
      </c>
      <c r="E399" t="str">
        <f t="shared" si="55"/>
        <v>PA28</v>
      </c>
      <c r="F399" t="s">
        <v>322</v>
      </c>
      <c r="G399" t="s">
        <v>83</v>
      </c>
      <c r="H399" s="2" t="str">
        <f t="shared" si="53"/>
        <v>PUT</v>
      </c>
      <c r="I399" t="s">
        <v>250</v>
      </c>
      <c r="J399" t="s">
        <v>250</v>
      </c>
      <c r="K399" s="4">
        <v>0.44791666666666669</v>
      </c>
      <c r="L399" s="4">
        <v>0.49652777777777773</v>
      </c>
      <c r="M399" s="11">
        <f t="shared" si="49"/>
        <v>0</v>
      </c>
      <c r="N399" s="11">
        <f t="shared" si="50"/>
        <v>4.8611111111111049E-2</v>
      </c>
      <c r="O399" s="11">
        <f t="shared" si="51"/>
        <v>0</v>
      </c>
      <c r="P399" s="11">
        <f t="shared" si="52"/>
        <v>0</v>
      </c>
      <c r="Q399" s="11"/>
      <c r="R399" s="11"/>
      <c r="S399" s="11"/>
      <c r="T399" s="11"/>
      <c r="V399" s="11"/>
      <c r="X399" s="11">
        <f t="shared" si="56"/>
        <v>4.8611111111111049E-2</v>
      </c>
      <c r="Y399" t="s">
        <v>544</v>
      </c>
    </row>
    <row r="400" spans="1:25" outlineLevel="1" x14ac:dyDescent="0.15">
      <c r="A400" s="3">
        <v>38192</v>
      </c>
      <c r="B400" s="3" t="str">
        <f>VLOOKUP(F400, Aircraft!A$2:C$99, 2, FALSE)</f>
        <v>PA28-235</v>
      </c>
      <c r="C400" t="str">
        <f>VLOOKUP(F400, Aircraft!A$2:C$99, 3, FALSE)</f>
        <v>S</v>
      </c>
      <c r="D400" t="str">
        <f t="shared" si="48"/>
        <v>S</v>
      </c>
      <c r="E400" t="str">
        <f t="shared" si="55"/>
        <v>PA28-235</v>
      </c>
      <c r="F400" t="s">
        <v>490</v>
      </c>
      <c r="G400" t="s">
        <v>191</v>
      </c>
      <c r="H400" s="2" t="str">
        <f t="shared" si="53"/>
        <v>P1</v>
      </c>
      <c r="I400" t="s">
        <v>250</v>
      </c>
      <c r="J400" t="s">
        <v>7</v>
      </c>
      <c r="K400" s="4">
        <v>0.33333333333333331</v>
      </c>
      <c r="L400" s="4">
        <v>0.40972222222222227</v>
      </c>
      <c r="M400" s="11">
        <f t="shared" si="49"/>
        <v>7.6388888888888951E-2</v>
      </c>
      <c r="N400" s="11">
        <f t="shared" si="50"/>
        <v>0</v>
      </c>
      <c r="O400" s="11">
        <f t="shared" si="51"/>
        <v>0</v>
      </c>
      <c r="P400" s="11">
        <f t="shared" si="52"/>
        <v>0</v>
      </c>
      <c r="Q400" s="11"/>
      <c r="R400" s="11"/>
      <c r="S400" s="11"/>
      <c r="T400" s="11"/>
      <c r="V400" s="11"/>
      <c r="X400" s="11">
        <f t="shared" si="56"/>
        <v>7.6388888888888951E-2</v>
      </c>
      <c r="Y400" t="s">
        <v>543</v>
      </c>
    </row>
    <row r="401" spans="1:25" outlineLevel="1" x14ac:dyDescent="0.15">
      <c r="A401" s="3">
        <v>38192</v>
      </c>
      <c r="B401" s="3" t="str">
        <f>VLOOKUP(F401, Aircraft!A$2:C$99, 2, FALSE)</f>
        <v>PA28-235</v>
      </c>
      <c r="C401" t="str">
        <f>VLOOKUP(F401, Aircraft!A$2:C$99, 3, FALSE)</f>
        <v>S</v>
      </c>
      <c r="D401" t="str">
        <f t="shared" si="48"/>
        <v>S</v>
      </c>
      <c r="E401" t="str">
        <f t="shared" si="55"/>
        <v>PA28-235</v>
      </c>
      <c r="F401" t="s">
        <v>490</v>
      </c>
      <c r="G401" t="s">
        <v>191</v>
      </c>
      <c r="H401" s="2" t="str">
        <f t="shared" si="53"/>
        <v>P1</v>
      </c>
      <c r="I401" t="s">
        <v>7</v>
      </c>
      <c r="J401" t="s">
        <v>9</v>
      </c>
      <c r="K401" s="4">
        <v>0.47222222222222227</v>
      </c>
      <c r="L401" s="4">
        <v>0.53819444444444442</v>
      </c>
      <c r="M401" s="11">
        <f t="shared" si="49"/>
        <v>6.5972222222222154E-2</v>
      </c>
      <c r="N401" s="11">
        <f t="shared" si="50"/>
        <v>0</v>
      </c>
      <c r="O401" s="11">
        <f t="shared" si="51"/>
        <v>0</v>
      </c>
      <c r="P401" s="11">
        <f t="shared" si="52"/>
        <v>0</v>
      </c>
      <c r="Q401" s="11"/>
      <c r="R401" s="11"/>
      <c r="S401" s="11"/>
      <c r="T401" s="11"/>
      <c r="V401" s="11"/>
      <c r="X401" s="11">
        <f t="shared" si="56"/>
        <v>6.5972222222222154E-2</v>
      </c>
    </row>
    <row r="402" spans="1:25" outlineLevel="1" x14ac:dyDescent="0.15">
      <c r="A402" s="3">
        <v>38193</v>
      </c>
      <c r="B402" s="3" t="str">
        <f>VLOOKUP(F402, Aircraft!A$2:C$99, 2, FALSE)</f>
        <v>PA28-235</v>
      </c>
      <c r="C402" t="str">
        <f>VLOOKUP(F402, Aircraft!A$2:C$99, 3, FALSE)</f>
        <v>S</v>
      </c>
      <c r="D402" t="str">
        <f t="shared" si="48"/>
        <v>S</v>
      </c>
      <c r="E402" t="str">
        <f t="shared" si="55"/>
        <v>PA28-235</v>
      </c>
      <c r="F402" t="s">
        <v>490</v>
      </c>
      <c r="G402" t="s">
        <v>191</v>
      </c>
      <c r="H402" s="2" t="str">
        <f t="shared" si="53"/>
        <v>P1</v>
      </c>
      <c r="I402" t="s">
        <v>20</v>
      </c>
      <c r="J402" t="s">
        <v>250</v>
      </c>
      <c r="K402" s="4">
        <v>0.69791666666666663</v>
      </c>
      <c r="L402" s="4">
        <v>0.74305555555555547</v>
      </c>
      <c r="M402" s="11">
        <f t="shared" si="49"/>
        <v>4.513888888888884E-2</v>
      </c>
      <c r="N402" s="11">
        <f t="shared" si="50"/>
        <v>0</v>
      </c>
      <c r="O402" s="11">
        <f t="shared" si="51"/>
        <v>0</v>
      </c>
      <c r="P402" s="11">
        <f t="shared" si="52"/>
        <v>0</v>
      </c>
      <c r="Q402" s="11"/>
      <c r="R402" s="11"/>
      <c r="S402" s="11"/>
      <c r="T402" s="11"/>
      <c r="V402" s="11"/>
      <c r="X402" s="11">
        <f t="shared" si="56"/>
        <v>4.513888888888884E-2</v>
      </c>
    </row>
    <row r="403" spans="1:25" outlineLevel="1" x14ac:dyDescent="0.15">
      <c r="A403" s="3">
        <v>38199</v>
      </c>
      <c r="B403" s="3" t="str">
        <f>VLOOKUP(F403, Aircraft!A$2:C$99, 2, FALSE)</f>
        <v>PA38</v>
      </c>
      <c r="C403" t="str">
        <f>VLOOKUP(F403, Aircraft!A$2:C$99, 3, FALSE)</f>
        <v>S</v>
      </c>
      <c r="D403" t="str">
        <f t="shared" ref="D403:D467" si="57">IF(ISNA(C403), "", C403)</f>
        <v>S</v>
      </c>
      <c r="E403" t="str">
        <f t="shared" si="55"/>
        <v>PA38</v>
      </c>
      <c r="F403" t="s">
        <v>540</v>
      </c>
      <c r="G403" t="s">
        <v>83</v>
      </c>
      <c r="H403" s="2" t="str">
        <f t="shared" si="53"/>
        <v>PUT</v>
      </c>
      <c r="I403" t="s">
        <v>250</v>
      </c>
      <c r="J403" t="s">
        <v>250</v>
      </c>
      <c r="K403" s="4">
        <v>0.44791666666666669</v>
      </c>
      <c r="L403" s="4">
        <v>0.5</v>
      </c>
      <c r="M403" s="11">
        <f t="shared" ref="M403:M467" si="58">IF(AND(H403="P1", D403="S"), L403-K403, 0)</f>
        <v>0</v>
      </c>
      <c r="N403" s="11">
        <f t="shared" ref="N403:N467" si="59">IF(AND(H403="PUT", D403="S"), L403-K403, 0)</f>
        <v>5.2083333333333315E-2</v>
      </c>
      <c r="O403" s="11">
        <f t="shared" si="54"/>
        <v>0</v>
      </c>
      <c r="P403" s="11">
        <f t="shared" ref="P403:P467" si="60">IF(AND(H403="PUT", D403="T"), L403-K403, 0)</f>
        <v>0</v>
      </c>
      <c r="Q403" s="11"/>
      <c r="R403" s="11"/>
      <c r="S403" s="11"/>
      <c r="T403" s="11"/>
      <c r="V403" s="11"/>
      <c r="X403" s="11">
        <f t="shared" si="56"/>
        <v>5.2083333333333315E-2</v>
      </c>
      <c r="Y403" t="s">
        <v>573</v>
      </c>
    </row>
    <row r="404" spans="1:25" outlineLevel="1" x14ac:dyDescent="0.15">
      <c r="A404" s="3">
        <v>38200</v>
      </c>
      <c r="B404" s="3" t="str">
        <f>VLOOKUP(F404, Aircraft!A$2:C$99, 2, FALSE)</f>
        <v>PA28</v>
      </c>
      <c r="C404" t="str">
        <f>VLOOKUP(F404, Aircraft!A$2:C$99, 3, FALSE)</f>
        <v>S</v>
      </c>
      <c r="D404" t="str">
        <f t="shared" si="57"/>
        <v>S</v>
      </c>
      <c r="E404" t="str">
        <f t="shared" si="55"/>
        <v>PA28</v>
      </c>
      <c r="F404" t="s">
        <v>322</v>
      </c>
      <c r="G404" t="s">
        <v>83</v>
      </c>
      <c r="H404" s="2" t="str">
        <f t="shared" si="53"/>
        <v>PUT</v>
      </c>
      <c r="I404" t="s">
        <v>250</v>
      </c>
      <c r="J404" t="s">
        <v>250</v>
      </c>
      <c r="K404" s="4">
        <v>0.57986111111111105</v>
      </c>
      <c r="L404" s="4">
        <v>0.63194444444444442</v>
      </c>
      <c r="M404" s="11">
        <f t="shared" si="58"/>
        <v>0</v>
      </c>
      <c r="N404" s="11">
        <f t="shared" si="59"/>
        <v>5.208333333333337E-2</v>
      </c>
      <c r="O404" s="11">
        <f t="shared" si="54"/>
        <v>0</v>
      </c>
      <c r="P404" s="11">
        <f t="shared" si="60"/>
        <v>0</v>
      </c>
      <c r="Q404" s="11"/>
      <c r="R404" s="11"/>
      <c r="S404" s="11"/>
      <c r="T404" s="11"/>
      <c r="V404" s="11"/>
      <c r="X404" s="11">
        <f t="shared" si="56"/>
        <v>5.208333333333337E-2</v>
      </c>
      <c r="Y404" t="s">
        <v>574</v>
      </c>
    </row>
    <row r="405" spans="1:25" outlineLevel="1" x14ac:dyDescent="0.15">
      <c r="A405" s="3">
        <v>38206</v>
      </c>
      <c r="B405" s="3" t="str">
        <f>VLOOKUP(F405, Aircraft!A$2:C$99, 2, FALSE)</f>
        <v>PA28</v>
      </c>
      <c r="C405" t="str">
        <f>VLOOKUP(F405, Aircraft!A$2:C$99, 3, FALSE)</f>
        <v>S</v>
      </c>
      <c r="D405" t="str">
        <f t="shared" si="57"/>
        <v>S</v>
      </c>
      <c r="E405" t="str">
        <f t="shared" si="55"/>
        <v>PA28</v>
      </c>
      <c r="F405" t="s">
        <v>493</v>
      </c>
      <c r="G405" t="s">
        <v>83</v>
      </c>
      <c r="H405" s="2" t="str">
        <f t="shared" ref="H405:H469" si="61">IF(UPPER(G405)&lt;&gt;"SELF",IF(G405&lt;&gt;"", "PUT", ""),"P1")</f>
        <v>PUT</v>
      </c>
      <c r="I405" t="s">
        <v>250</v>
      </c>
      <c r="J405" t="s">
        <v>250</v>
      </c>
      <c r="K405" s="4">
        <v>0.43402777777777773</v>
      </c>
      <c r="L405" s="4">
        <v>0.50347222222222221</v>
      </c>
      <c r="M405" s="11">
        <f t="shared" si="58"/>
        <v>0</v>
      </c>
      <c r="N405" s="11">
        <f t="shared" si="59"/>
        <v>6.9444444444444475E-2</v>
      </c>
      <c r="O405" s="11">
        <f t="shared" si="54"/>
        <v>0</v>
      </c>
      <c r="P405" s="11">
        <f t="shared" si="60"/>
        <v>0</v>
      </c>
      <c r="Q405" s="11"/>
      <c r="R405" s="11"/>
      <c r="S405" s="11"/>
      <c r="T405" s="11"/>
      <c r="V405" s="11"/>
      <c r="X405" s="11">
        <f t="shared" si="56"/>
        <v>6.9444444444444475E-2</v>
      </c>
      <c r="Y405" t="s">
        <v>416</v>
      </c>
    </row>
    <row r="406" spans="1:25" outlineLevel="1" x14ac:dyDescent="0.15">
      <c r="A406" s="3">
        <v>38206</v>
      </c>
      <c r="B406" s="3" t="str">
        <f>VLOOKUP(F406, Aircraft!A$2:C$99, 2, FALSE)</f>
        <v>PA38</v>
      </c>
      <c r="C406" t="str">
        <f>VLOOKUP(F406, Aircraft!A$2:C$99, 3, FALSE)</f>
        <v>S</v>
      </c>
      <c r="D406" t="str">
        <f t="shared" si="57"/>
        <v>S</v>
      </c>
      <c r="E406" t="str">
        <f t="shared" si="55"/>
        <v>PA38</v>
      </c>
      <c r="F406" t="s">
        <v>540</v>
      </c>
      <c r="G406" t="s">
        <v>83</v>
      </c>
      <c r="H406" s="2" t="str">
        <f t="shared" si="61"/>
        <v>PUT</v>
      </c>
      <c r="I406" t="s">
        <v>250</v>
      </c>
      <c r="J406" t="s">
        <v>250</v>
      </c>
      <c r="K406" s="4">
        <v>0.58333333333333337</v>
      </c>
      <c r="L406" s="4">
        <v>0.64930555555555558</v>
      </c>
      <c r="M406" s="11">
        <f t="shared" si="58"/>
        <v>0</v>
      </c>
      <c r="N406" s="11">
        <f t="shared" si="59"/>
        <v>6.597222222222221E-2</v>
      </c>
      <c r="O406" s="11">
        <f t="shared" si="54"/>
        <v>0</v>
      </c>
      <c r="P406" s="11">
        <f t="shared" si="60"/>
        <v>0</v>
      </c>
      <c r="Q406" s="11"/>
      <c r="R406" s="11"/>
      <c r="S406" s="11"/>
      <c r="T406" s="11"/>
      <c r="V406" s="11"/>
      <c r="X406" s="11">
        <f t="shared" si="56"/>
        <v>6.597222222222221E-2</v>
      </c>
      <c r="Y406" t="s">
        <v>417</v>
      </c>
    </row>
    <row r="407" spans="1:25" outlineLevel="1" x14ac:dyDescent="0.15">
      <c r="A407" s="3">
        <v>38207</v>
      </c>
      <c r="B407" s="3" t="str">
        <f>VLOOKUP(F407, Aircraft!A$2:C$99, 2, FALSE)</f>
        <v>PA38</v>
      </c>
      <c r="C407" t="str">
        <f>VLOOKUP(F407, Aircraft!A$2:C$99, 3, FALSE)</f>
        <v>S</v>
      </c>
      <c r="D407" t="str">
        <f t="shared" si="57"/>
        <v>S</v>
      </c>
      <c r="E407" t="str">
        <f t="shared" si="55"/>
        <v>PA38</v>
      </c>
      <c r="F407" t="s">
        <v>540</v>
      </c>
      <c r="G407" t="s">
        <v>191</v>
      </c>
      <c r="H407" s="2" t="str">
        <f t="shared" si="61"/>
        <v>P1</v>
      </c>
      <c r="I407" t="s">
        <v>250</v>
      </c>
      <c r="J407" t="s">
        <v>250</v>
      </c>
      <c r="K407" s="4">
        <v>0.39583333333333331</v>
      </c>
      <c r="L407" s="4">
        <v>0.44444444444444442</v>
      </c>
      <c r="M407" s="11">
        <f t="shared" si="58"/>
        <v>4.8611111111111105E-2</v>
      </c>
      <c r="N407" s="11">
        <f t="shared" si="59"/>
        <v>0</v>
      </c>
      <c r="O407" s="11">
        <f t="shared" si="54"/>
        <v>0</v>
      </c>
      <c r="P407" s="11">
        <f t="shared" si="60"/>
        <v>0</v>
      </c>
      <c r="Q407" s="11"/>
      <c r="R407" s="11"/>
      <c r="S407" s="11"/>
      <c r="T407" s="11"/>
      <c r="V407" s="11"/>
      <c r="X407" s="11">
        <f t="shared" si="56"/>
        <v>4.8611111111111105E-2</v>
      </c>
      <c r="Y407" t="s">
        <v>418</v>
      </c>
    </row>
    <row r="408" spans="1:25" outlineLevel="1" x14ac:dyDescent="0.15">
      <c r="A408" s="3">
        <v>38207</v>
      </c>
      <c r="B408" s="3" t="str">
        <f>VLOOKUP(F408, Aircraft!A$2:C$99, 2, FALSE)</f>
        <v>PA38</v>
      </c>
      <c r="C408" t="str">
        <f>VLOOKUP(F408, Aircraft!A$2:C$99, 3, FALSE)</f>
        <v>S</v>
      </c>
      <c r="D408" t="str">
        <f t="shared" si="57"/>
        <v>S</v>
      </c>
      <c r="E408" t="str">
        <f t="shared" si="55"/>
        <v>PA38</v>
      </c>
      <c r="F408" t="s">
        <v>540</v>
      </c>
      <c r="G408" t="s">
        <v>83</v>
      </c>
      <c r="H408" s="2" t="str">
        <f t="shared" si="61"/>
        <v>PUT</v>
      </c>
      <c r="I408" t="s">
        <v>250</v>
      </c>
      <c r="J408" t="s">
        <v>250</v>
      </c>
      <c r="K408" s="4">
        <v>0.60069444444444442</v>
      </c>
      <c r="L408" s="4">
        <v>0.66319444444444442</v>
      </c>
      <c r="M408" s="11">
        <f t="shared" si="58"/>
        <v>0</v>
      </c>
      <c r="N408" s="11">
        <f t="shared" si="59"/>
        <v>6.25E-2</v>
      </c>
      <c r="O408" s="11">
        <f t="shared" si="54"/>
        <v>0</v>
      </c>
      <c r="P408" s="11">
        <f t="shared" si="60"/>
        <v>0</v>
      </c>
      <c r="Q408" s="11"/>
      <c r="R408" s="11"/>
      <c r="S408" s="11"/>
      <c r="T408" s="11"/>
      <c r="V408" s="11"/>
      <c r="X408" s="11">
        <f t="shared" si="56"/>
        <v>6.25E-2</v>
      </c>
      <c r="Y408" t="s">
        <v>419</v>
      </c>
    </row>
    <row r="409" spans="1:25" outlineLevel="1" x14ac:dyDescent="0.15">
      <c r="A409" s="3">
        <v>38220</v>
      </c>
      <c r="B409" s="3" t="str">
        <f>VLOOKUP(F409, Aircraft!A$2:C$99, 2, FALSE)</f>
        <v>PA23</v>
      </c>
      <c r="C409" t="str">
        <f>VLOOKUP(F409, Aircraft!A$2:C$99, 3, FALSE)</f>
        <v>T</v>
      </c>
      <c r="D409" t="str">
        <f t="shared" si="57"/>
        <v>T</v>
      </c>
      <c r="E409" t="str">
        <f t="shared" si="55"/>
        <v>PA23</v>
      </c>
      <c r="F409" t="s">
        <v>347</v>
      </c>
      <c r="G409" t="s">
        <v>191</v>
      </c>
      <c r="H409" s="2" t="str">
        <f t="shared" si="61"/>
        <v>P1</v>
      </c>
      <c r="I409" t="s">
        <v>250</v>
      </c>
      <c r="J409" t="s">
        <v>250</v>
      </c>
      <c r="K409" s="4">
        <v>0.46180555555555558</v>
      </c>
      <c r="L409" s="4">
        <v>0.48958333333333331</v>
      </c>
      <c r="M409" s="11">
        <f t="shared" si="58"/>
        <v>0</v>
      </c>
      <c r="N409" s="11">
        <f t="shared" si="59"/>
        <v>0</v>
      </c>
      <c r="O409" s="11">
        <f t="shared" si="54"/>
        <v>2.7777777777777735E-2</v>
      </c>
      <c r="P409" s="11">
        <f t="shared" si="60"/>
        <v>0</v>
      </c>
      <c r="Q409" s="11"/>
      <c r="R409" s="11"/>
      <c r="S409" s="11"/>
      <c r="T409" s="11"/>
      <c r="V409" s="11"/>
      <c r="X409" s="11">
        <f t="shared" si="56"/>
        <v>2.7777777777777735E-2</v>
      </c>
      <c r="Y409" t="s">
        <v>420</v>
      </c>
    </row>
    <row r="410" spans="1:25" outlineLevel="1" x14ac:dyDescent="0.15">
      <c r="A410" s="3">
        <v>38220</v>
      </c>
      <c r="B410" s="3" t="str">
        <f>VLOOKUP(F410, Aircraft!A$2:C$99, 2, FALSE)</f>
        <v>PA38</v>
      </c>
      <c r="C410" t="str">
        <f>VLOOKUP(F410, Aircraft!A$2:C$99, 3, FALSE)</f>
        <v>S</v>
      </c>
      <c r="D410" t="str">
        <f t="shared" si="57"/>
        <v>S</v>
      </c>
      <c r="E410" t="str">
        <f t="shared" si="55"/>
        <v>PA38</v>
      </c>
      <c r="F410" t="s">
        <v>540</v>
      </c>
      <c r="G410" t="s">
        <v>83</v>
      </c>
      <c r="H410" s="2" t="str">
        <f t="shared" si="61"/>
        <v>PUT</v>
      </c>
      <c r="I410" t="s">
        <v>250</v>
      </c>
      <c r="J410" t="s">
        <v>250</v>
      </c>
      <c r="K410" s="4">
        <v>0.53472222222222221</v>
      </c>
      <c r="L410" s="4">
        <v>0.59027777777777779</v>
      </c>
      <c r="M410" s="11">
        <f t="shared" si="58"/>
        <v>0</v>
      </c>
      <c r="N410" s="11">
        <f t="shared" si="59"/>
        <v>5.555555555555558E-2</v>
      </c>
      <c r="O410" s="11">
        <f t="shared" si="54"/>
        <v>0</v>
      </c>
      <c r="P410" s="11">
        <f t="shared" si="60"/>
        <v>0</v>
      </c>
      <c r="Q410" s="11"/>
      <c r="R410" s="11"/>
      <c r="S410" s="11"/>
      <c r="T410" s="11"/>
      <c r="V410" s="11"/>
      <c r="X410" s="11">
        <f t="shared" si="56"/>
        <v>5.555555555555558E-2</v>
      </c>
      <c r="Y410" t="s">
        <v>422</v>
      </c>
    </row>
    <row r="411" spans="1:25" outlineLevel="1" x14ac:dyDescent="0.15">
      <c r="A411" s="3">
        <v>38221</v>
      </c>
      <c r="B411" s="3" t="str">
        <f>VLOOKUP(F411, Aircraft!A$2:C$99, 2, FALSE)</f>
        <v>PA23</v>
      </c>
      <c r="C411" t="str">
        <f>VLOOKUP(F411, Aircraft!A$2:C$99, 3, FALSE)</f>
        <v>T</v>
      </c>
      <c r="D411" t="str">
        <f t="shared" si="57"/>
        <v>T</v>
      </c>
      <c r="E411" t="str">
        <f t="shared" si="55"/>
        <v>PA23</v>
      </c>
      <c r="F411" t="s">
        <v>347</v>
      </c>
      <c r="G411" t="s">
        <v>191</v>
      </c>
      <c r="H411" s="2" t="str">
        <f t="shared" si="61"/>
        <v>P1</v>
      </c>
      <c r="I411" t="s">
        <v>250</v>
      </c>
      <c r="J411" t="s">
        <v>355</v>
      </c>
      <c r="K411" s="4">
        <v>0.4375</v>
      </c>
      <c r="L411" s="4">
        <v>0.47222222222222227</v>
      </c>
      <c r="M411" s="11">
        <f t="shared" si="58"/>
        <v>0</v>
      </c>
      <c r="N411" s="11">
        <f t="shared" si="59"/>
        <v>0</v>
      </c>
      <c r="O411" s="11">
        <f t="shared" si="54"/>
        <v>3.4722222222222265E-2</v>
      </c>
      <c r="P411" s="11">
        <f t="shared" si="60"/>
        <v>0</v>
      </c>
      <c r="Q411" s="11"/>
      <c r="R411" s="11"/>
      <c r="S411" s="11"/>
      <c r="T411" s="11"/>
      <c r="V411" s="11"/>
      <c r="X411" s="11">
        <f t="shared" si="56"/>
        <v>3.4722222222222265E-2</v>
      </c>
    </row>
    <row r="412" spans="1:25" outlineLevel="1" x14ac:dyDescent="0.15">
      <c r="A412" s="3">
        <v>38221</v>
      </c>
      <c r="B412" s="3" t="str">
        <f>VLOOKUP(F412, Aircraft!A$2:C$99, 2, FALSE)</f>
        <v>PA28</v>
      </c>
      <c r="C412" t="str">
        <f>VLOOKUP(F412, Aircraft!A$2:C$99, 3, FALSE)</f>
        <v>S</v>
      </c>
      <c r="D412" t="str">
        <f t="shared" si="57"/>
        <v>S</v>
      </c>
      <c r="E412" t="str">
        <f t="shared" si="55"/>
        <v>PA28</v>
      </c>
      <c r="F412" t="s">
        <v>322</v>
      </c>
      <c r="G412" t="s">
        <v>191</v>
      </c>
      <c r="H412" s="2" t="str">
        <f t="shared" si="61"/>
        <v>P1</v>
      </c>
      <c r="I412" t="s">
        <v>250</v>
      </c>
      <c r="J412" t="s">
        <v>250</v>
      </c>
      <c r="K412" s="4">
        <v>0.64236111111111105</v>
      </c>
      <c r="L412" s="4">
        <v>0.68402777777777779</v>
      </c>
      <c r="M412" s="11">
        <f t="shared" si="58"/>
        <v>4.1666666666666741E-2</v>
      </c>
      <c r="N412" s="11">
        <f t="shared" si="59"/>
        <v>0</v>
      </c>
      <c r="O412" s="11">
        <f t="shared" si="54"/>
        <v>0</v>
      </c>
      <c r="P412" s="11">
        <f t="shared" si="60"/>
        <v>0</v>
      </c>
      <c r="Q412" s="11"/>
      <c r="R412" s="11"/>
      <c r="S412" s="11"/>
      <c r="T412" s="11"/>
      <c r="V412" s="11"/>
      <c r="X412" s="11">
        <f t="shared" si="56"/>
        <v>4.1666666666666741E-2</v>
      </c>
      <c r="Y412" t="s">
        <v>421</v>
      </c>
    </row>
    <row r="413" spans="1:25" outlineLevel="1" x14ac:dyDescent="0.15">
      <c r="A413" s="3">
        <v>38221</v>
      </c>
      <c r="B413" s="3" t="str">
        <f>VLOOKUP(F413, Aircraft!A$2:C$99, 2, FALSE)</f>
        <v>PA23</v>
      </c>
      <c r="C413" t="str">
        <f>VLOOKUP(F413, Aircraft!A$2:C$99, 3, FALSE)</f>
        <v>T</v>
      </c>
      <c r="D413" t="str">
        <f t="shared" si="57"/>
        <v>T</v>
      </c>
      <c r="E413" t="str">
        <f t="shared" si="55"/>
        <v>PA23</v>
      </c>
      <c r="F413" t="s">
        <v>347</v>
      </c>
      <c r="G413" t="s">
        <v>191</v>
      </c>
      <c r="H413" s="2" t="str">
        <f t="shared" si="61"/>
        <v>P1</v>
      </c>
      <c r="I413" t="s">
        <v>355</v>
      </c>
      <c r="J413" t="s">
        <v>250</v>
      </c>
      <c r="K413" s="4">
        <v>0.65972222222222221</v>
      </c>
      <c r="L413" s="4">
        <v>0.6875</v>
      </c>
      <c r="M413" s="11">
        <f t="shared" si="58"/>
        <v>0</v>
      </c>
      <c r="N413" s="11">
        <f t="shared" si="59"/>
        <v>0</v>
      </c>
      <c r="O413" s="11">
        <f t="shared" si="54"/>
        <v>2.777777777777779E-2</v>
      </c>
      <c r="P413" s="11">
        <f t="shared" si="60"/>
        <v>0</v>
      </c>
      <c r="Q413" s="11"/>
      <c r="R413" s="11"/>
      <c r="S413" s="11"/>
      <c r="T413" s="11"/>
      <c r="V413" s="11"/>
      <c r="X413" s="11">
        <f t="shared" si="56"/>
        <v>2.777777777777779E-2</v>
      </c>
    </row>
    <row r="414" spans="1:25" outlineLevel="1" x14ac:dyDescent="0.15">
      <c r="A414" s="3">
        <v>38227</v>
      </c>
      <c r="B414" s="3" t="str">
        <f>VLOOKUP(F414, Aircraft!A$2:C$99, 2, FALSE)</f>
        <v>PA34</v>
      </c>
      <c r="C414" t="str">
        <f>VLOOKUP(F414, Aircraft!A$2:C$99, 3, FALSE)</f>
        <v>T</v>
      </c>
      <c r="D414" t="str">
        <f t="shared" si="57"/>
        <v>T</v>
      </c>
      <c r="E414" t="str">
        <f t="shared" si="55"/>
        <v>PA34</v>
      </c>
      <c r="F414" t="s">
        <v>224</v>
      </c>
      <c r="G414" t="s">
        <v>191</v>
      </c>
      <c r="H414" s="2" t="str">
        <f t="shared" si="61"/>
        <v>P1</v>
      </c>
      <c r="I414" t="s">
        <v>250</v>
      </c>
      <c r="J414" t="s">
        <v>1</v>
      </c>
      <c r="K414" s="4">
        <v>0.30555555555555552</v>
      </c>
      <c r="L414" s="4">
        <v>0.35069444444444442</v>
      </c>
      <c r="M414" s="11">
        <f t="shared" si="58"/>
        <v>0</v>
      </c>
      <c r="N414" s="11">
        <f t="shared" si="59"/>
        <v>0</v>
      </c>
      <c r="O414" s="11">
        <f t="shared" si="54"/>
        <v>4.5138888888888895E-2</v>
      </c>
      <c r="P414" s="11">
        <f t="shared" si="60"/>
        <v>0</v>
      </c>
      <c r="Q414" s="11"/>
      <c r="R414" s="11"/>
      <c r="S414" s="11"/>
      <c r="T414" s="11"/>
      <c r="V414" s="11"/>
      <c r="X414" s="11">
        <f t="shared" si="56"/>
        <v>4.5138888888888895E-2</v>
      </c>
    </row>
    <row r="415" spans="1:25" outlineLevel="1" x14ac:dyDescent="0.15">
      <c r="A415" s="3">
        <v>38228</v>
      </c>
      <c r="B415" s="3" t="str">
        <f>VLOOKUP(F415, Aircraft!A$2:C$99, 2, FALSE)</f>
        <v>PA34</v>
      </c>
      <c r="C415" t="str">
        <f>VLOOKUP(F415, Aircraft!A$2:C$99, 3, FALSE)</f>
        <v>T</v>
      </c>
      <c r="D415" t="str">
        <f t="shared" si="57"/>
        <v>T</v>
      </c>
      <c r="E415" t="str">
        <f t="shared" si="55"/>
        <v>PA34</v>
      </c>
      <c r="F415" t="s">
        <v>224</v>
      </c>
      <c r="G415" t="s">
        <v>191</v>
      </c>
      <c r="H415" s="2" t="str">
        <f t="shared" si="61"/>
        <v>P1</v>
      </c>
      <c r="I415" t="s">
        <v>1</v>
      </c>
      <c r="J415" t="s">
        <v>250</v>
      </c>
      <c r="K415" s="4">
        <v>0.6875</v>
      </c>
      <c r="L415" s="4">
        <v>0.73263888888888884</v>
      </c>
      <c r="M415" s="11">
        <f t="shared" si="58"/>
        <v>0</v>
      </c>
      <c r="N415" s="11">
        <f t="shared" si="59"/>
        <v>0</v>
      </c>
      <c r="O415" s="11">
        <f t="shared" si="54"/>
        <v>4.513888888888884E-2</v>
      </c>
      <c r="P415" s="11">
        <f t="shared" si="60"/>
        <v>0</v>
      </c>
      <c r="Q415" s="11"/>
      <c r="R415" s="11"/>
      <c r="S415" s="11"/>
      <c r="T415" s="11"/>
      <c r="V415" s="11"/>
      <c r="X415" s="11">
        <f t="shared" si="56"/>
        <v>4.513888888888884E-2</v>
      </c>
    </row>
    <row r="416" spans="1:25" outlineLevel="1" x14ac:dyDescent="0.15">
      <c r="A416" s="3">
        <v>38234</v>
      </c>
      <c r="B416" s="3" t="str">
        <f>VLOOKUP(F416, Aircraft!A$2:C$99, 2, FALSE)</f>
        <v>T67C</v>
      </c>
      <c r="C416" t="str">
        <f>VLOOKUP(F416, Aircraft!A$2:C$99, 3, FALSE)</f>
        <v>S</v>
      </c>
      <c r="D416" t="str">
        <f t="shared" si="57"/>
        <v>S</v>
      </c>
      <c r="E416" t="str">
        <f t="shared" si="55"/>
        <v>T67C</v>
      </c>
      <c r="F416" t="s">
        <v>423</v>
      </c>
      <c r="G416" t="s">
        <v>83</v>
      </c>
      <c r="H416" s="2" t="str">
        <f t="shared" si="61"/>
        <v>PUT</v>
      </c>
      <c r="I416" t="s">
        <v>250</v>
      </c>
      <c r="J416" t="s">
        <v>250</v>
      </c>
      <c r="K416" s="4">
        <v>0.55902777777777779</v>
      </c>
      <c r="L416" s="4">
        <v>0.59375</v>
      </c>
      <c r="M416" s="11">
        <f t="shared" si="58"/>
        <v>0</v>
      </c>
      <c r="N416" s="11">
        <f t="shared" si="59"/>
        <v>3.472222222222221E-2</v>
      </c>
      <c r="O416" s="11">
        <f t="shared" si="54"/>
        <v>0</v>
      </c>
      <c r="P416" s="11">
        <f t="shared" si="60"/>
        <v>0</v>
      </c>
      <c r="Q416" s="11"/>
      <c r="R416" s="11"/>
      <c r="S416" s="11"/>
      <c r="T416" s="11"/>
      <c r="V416" s="11"/>
      <c r="X416" s="11">
        <f t="shared" si="56"/>
        <v>3.472222222222221E-2</v>
      </c>
      <c r="Y416" t="s">
        <v>425</v>
      </c>
    </row>
    <row r="417" spans="1:25" outlineLevel="1" x14ac:dyDescent="0.15">
      <c r="A417" s="3">
        <v>38235</v>
      </c>
      <c r="B417" s="3" t="str">
        <f>VLOOKUP(F417, Aircraft!A$2:C$99, 2, FALSE)</f>
        <v>PA38</v>
      </c>
      <c r="C417" t="str">
        <f>VLOOKUP(F417, Aircraft!A$2:C$99, 3, FALSE)</f>
        <v>S</v>
      </c>
      <c r="D417" t="str">
        <f t="shared" si="57"/>
        <v>S</v>
      </c>
      <c r="E417" t="str">
        <f t="shared" si="55"/>
        <v>PA38</v>
      </c>
      <c r="F417" t="s">
        <v>540</v>
      </c>
      <c r="G417" t="s">
        <v>83</v>
      </c>
      <c r="H417" s="2" t="str">
        <f t="shared" si="61"/>
        <v>PUT</v>
      </c>
      <c r="I417" t="s">
        <v>250</v>
      </c>
      <c r="J417" t="s">
        <v>250</v>
      </c>
      <c r="K417" s="4">
        <v>0.4201388888888889</v>
      </c>
      <c r="L417" s="4">
        <v>0.47916666666666669</v>
      </c>
      <c r="M417" s="11">
        <f t="shared" si="58"/>
        <v>0</v>
      </c>
      <c r="N417" s="11">
        <f t="shared" si="59"/>
        <v>5.902777777777779E-2</v>
      </c>
      <c r="O417" s="11">
        <f t="shared" si="54"/>
        <v>0</v>
      </c>
      <c r="P417" s="11">
        <f t="shared" si="60"/>
        <v>0</v>
      </c>
      <c r="Q417" s="11"/>
      <c r="R417" s="11"/>
      <c r="S417" s="11"/>
      <c r="T417" s="11"/>
      <c r="V417" s="11"/>
      <c r="X417" s="11">
        <f t="shared" si="56"/>
        <v>5.902777777777779E-2</v>
      </c>
      <c r="Y417" t="s">
        <v>426</v>
      </c>
    </row>
    <row r="418" spans="1:25" outlineLevel="1" x14ac:dyDescent="0.15">
      <c r="A418" s="3">
        <v>38235</v>
      </c>
      <c r="B418" s="3" t="str">
        <f>VLOOKUP(F418, Aircraft!A$2:C$99, 2, FALSE)</f>
        <v>T67C</v>
      </c>
      <c r="C418" t="str">
        <f>VLOOKUP(F418, Aircraft!A$2:C$99, 3, FALSE)</f>
        <v>S</v>
      </c>
      <c r="D418" t="str">
        <f t="shared" si="57"/>
        <v>S</v>
      </c>
      <c r="E418" t="str">
        <f t="shared" si="55"/>
        <v>T67C</v>
      </c>
      <c r="F418" t="s">
        <v>423</v>
      </c>
      <c r="G418" t="s">
        <v>83</v>
      </c>
      <c r="H418" s="2" t="str">
        <f t="shared" si="61"/>
        <v>PUT</v>
      </c>
      <c r="I418" t="s">
        <v>250</v>
      </c>
      <c r="J418" t="s">
        <v>250</v>
      </c>
      <c r="K418" s="4">
        <v>0.59027777777777779</v>
      </c>
      <c r="L418" s="4">
        <v>0.62847222222222221</v>
      </c>
      <c r="M418" s="11">
        <f t="shared" si="58"/>
        <v>0</v>
      </c>
      <c r="N418" s="11">
        <f t="shared" si="59"/>
        <v>3.819444444444442E-2</v>
      </c>
      <c r="O418" s="11">
        <f t="shared" si="54"/>
        <v>0</v>
      </c>
      <c r="P418" s="11">
        <f t="shared" si="60"/>
        <v>0</v>
      </c>
      <c r="Q418" s="11"/>
      <c r="R418" s="11"/>
      <c r="S418" s="11"/>
      <c r="T418" s="11"/>
      <c r="V418" s="11"/>
      <c r="X418" s="11">
        <f t="shared" si="56"/>
        <v>3.819444444444442E-2</v>
      </c>
      <c r="Y418" t="s">
        <v>427</v>
      </c>
    </row>
    <row r="419" spans="1:25" outlineLevel="1" x14ac:dyDescent="0.15">
      <c r="A419" s="3">
        <v>38241</v>
      </c>
      <c r="B419" s="3" t="str">
        <f>VLOOKUP(F419, Aircraft!A$2:C$99, 2, FALSE)</f>
        <v>PA38</v>
      </c>
      <c r="C419" t="str">
        <f>VLOOKUP(F419, Aircraft!A$2:C$99, 3, FALSE)</f>
        <v>S</v>
      </c>
      <c r="D419" t="str">
        <f t="shared" si="57"/>
        <v>S</v>
      </c>
      <c r="E419" t="str">
        <f t="shared" si="55"/>
        <v>PA38</v>
      </c>
      <c r="F419" t="s">
        <v>540</v>
      </c>
      <c r="G419" t="s">
        <v>83</v>
      </c>
      <c r="H419" s="2" t="str">
        <f t="shared" si="61"/>
        <v>PUT</v>
      </c>
      <c r="I419" t="s">
        <v>250</v>
      </c>
      <c r="J419" s="4" t="s">
        <v>250</v>
      </c>
      <c r="K419" s="4">
        <v>0.40972222222222227</v>
      </c>
      <c r="L419" s="4">
        <v>0.44444444444444442</v>
      </c>
      <c r="M419" s="11">
        <f t="shared" si="58"/>
        <v>0</v>
      </c>
      <c r="N419" s="11">
        <f t="shared" si="59"/>
        <v>3.4722222222222154E-2</v>
      </c>
      <c r="O419" s="11">
        <f t="shared" si="54"/>
        <v>0</v>
      </c>
      <c r="P419" s="11">
        <f t="shared" si="60"/>
        <v>0</v>
      </c>
      <c r="Q419" s="11"/>
      <c r="R419" s="11"/>
      <c r="S419" s="11"/>
      <c r="T419" s="11"/>
      <c r="V419" s="11"/>
      <c r="X419" s="11">
        <f t="shared" si="56"/>
        <v>3.4722222222222154E-2</v>
      </c>
      <c r="Y419" t="s">
        <v>428</v>
      </c>
    </row>
    <row r="420" spans="1:25" outlineLevel="1" x14ac:dyDescent="0.15">
      <c r="A420" s="3">
        <v>38241</v>
      </c>
      <c r="B420" s="3" t="str">
        <f>VLOOKUP(F420, Aircraft!A$2:C$99, 2, FALSE)</f>
        <v>PA28</v>
      </c>
      <c r="C420" t="str">
        <f>VLOOKUP(F420, Aircraft!A$2:C$99, 3, FALSE)</f>
        <v>S</v>
      </c>
      <c r="D420" t="str">
        <f t="shared" si="57"/>
        <v>S</v>
      </c>
      <c r="E420" t="str">
        <f t="shared" si="55"/>
        <v>PA28</v>
      </c>
      <c r="F420" t="s">
        <v>322</v>
      </c>
      <c r="G420" t="s">
        <v>83</v>
      </c>
      <c r="H420" s="2" t="str">
        <f t="shared" si="61"/>
        <v>PUT</v>
      </c>
      <c r="I420" t="s">
        <v>250</v>
      </c>
      <c r="J420" t="s">
        <v>250</v>
      </c>
      <c r="K420" s="4">
        <v>0.60416666666666663</v>
      </c>
      <c r="L420" s="4">
        <v>0.64236111111111105</v>
      </c>
      <c r="M420" s="11">
        <f t="shared" si="58"/>
        <v>0</v>
      </c>
      <c r="N420" s="11">
        <f t="shared" si="59"/>
        <v>3.819444444444442E-2</v>
      </c>
      <c r="O420" s="11">
        <f t="shared" si="54"/>
        <v>0</v>
      </c>
      <c r="P420" s="11">
        <f t="shared" si="60"/>
        <v>0</v>
      </c>
      <c r="Q420" s="11"/>
      <c r="R420" s="11"/>
      <c r="S420" s="11"/>
      <c r="T420" s="11"/>
      <c r="V420" s="11"/>
      <c r="X420" s="11">
        <f t="shared" si="56"/>
        <v>3.819444444444442E-2</v>
      </c>
      <c r="Y420" t="s">
        <v>429</v>
      </c>
    </row>
    <row r="421" spans="1:25" outlineLevel="1" x14ac:dyDescent="0.15">
      <c r="A421" s="3">
        <v>38242</v>
      </c>
      <c r="B421" s="3" t="str">
        <f>VLOOKUP(F421, Aircraft!A$2:C$99, 2, FALSE)</f>
        <v>PA28</v>
      </c>
      <c r="C421" t="str">
        <f>VLOOKUP(F421, Aircraft!A$2:C$99, 3, FALSE)</f>
        <v>S</v>
      </c>
      <c r="D421" t="str">
        <f t="shared" si="57"/>
        <v>S</v>
      </c>
      <c r="E421" t="str">
        <f t="shared" si="55"/>
        <v>PA28</v>
      </c>
      <c r="F421" t="s">
        <v>319</v>
      </c>
      <c r="G421" t="s">
        <v>83</v>
      </c>
      <c r="H421" s="2" t="str">
        <f t="shared" si="61"/>
        <v>PUT</v>
      </c>
      <c r="I421" t="s">
        <v>250</v>
      </c>
      <c r="J421" t="s">
        <v>250</v>
      </c>
      <c r="K421" s="4">
        <v>0.39583333333333331</v>
      </c>
      <c r="L421" s="4">
        <v>0.45833333333333331</v>
      </c>
      <c r="M421" s="11">
        <f t="shared" si="58"/>
        <v>0</v>
      </c>
      <c r="N421" s="11">
        <f t="shared" si="59"/>
        <v>6.25E-2</v>
      </c>
      <c r="O421" s="11">
        <f t="shared" si="54"/>
        <v>0</v>
      </c>
      <c r="P421" s="11">
        <f t="shared" si="60"/>
        <v>0</v>
      </c>
      <c r="Q421" s="11"/>
      <c r="R421" s="11"/>
      <c r="S421" s="11"/>
      <c r="T421" s="11"/>
      <c r="V421" s="11"/>
      <c r="X421" s="11">
        <f t="shared" si="56"/>
        <v>6.25E-2</v>
      </c>
      <c r="Y421" t="s">
        <v>281</v>
      </c>
    </row>
    <row r="422" spans="1:25" outlineLevel="1" x14ac:dyDescent="0.15">
      <c r="A422" s="3">
        <v>38242</v>
      </c>
      <c r="B422" s="3" t="str">
        <f>VLOOKUP(F422, Aircraft!A$2:C$99, 2, FALSE)</f>
        <v>PA28</v>
      </c>
      <c r="C422" t="str">
        <f>VLOOKUP(F422, Aircraft!A$2:C$99, 3, FALSE)</f>
        <v>S</v>
      </c>
      <c r="D422" t="str">
        <f t="shared" si="57"/>
        <v>S</v>
      </c>
      <c r="E422" t="str">
        <f t="shared" si="55"/>
        <v>PA28</v>
      </c>
      <c r="F422" t="s">
        <v>319</v>
      </c>
      <c r="G422" t="s">
        <v>191</v>
      </c>
      <c r="H422" s="2" t="str">
        <f t="shared" si="61"/>
        <v>P1</v>
      </c>
      <c r="I422" t="s">
        <v>250</v>
      </c>
      <c r="J422" t="s">
        <v>250</v>
      </c>
      <c r="K422" s="4">
        <v>0.51736111111111105</v>
      </c>
      <c r="L422" s="15">
        <v>0.56944444444444442</v>
      </c>
      <c r="M422" s="11">
        <f t="shared" si="58"/>
        <v>5.208333333333337E-2</v>
      </c>
      <c r="N422" s="11">
        <f t="shared" si="59"/>
        <v>0</v>
      </c>
      <c r="O422" s="11">
        <f t="shared" si="54"/>
        <v>0</v>
      </c>
      <c r="P422" s="11">
        <f t="shared" si="60"/>
        <v>0</v>
      </c>
      <c r="Q422" s="11"/>
      <c r="R422" s="11"/>
      <c r="S422" s="11"/>
      <c r="T422" s="11"/>
      <c r="V422" s="11"/>
      <c r="X422" s="11">
        <f t="shared" si="56"/>
        <v>5.208333333333337E-2</v>
      </c>
      <c r="Y422" t="s">
        <v>282</v>
      </c>
    </row>
    <row r="423" spans="1:25" outlineLevel="1" x14ac:dyDescent="0.15">
      <c r="A423" s="3">
        <v>38256</v>
      </c>
      <c r="B423" s="3" t="str">
        <f>VLOOKUP(F423, Aircraft!A$2:C$99, 2, FALSE)</f>
        <v>PA28</v>
      </c>
      <c r="C423" t="str">
        <f>VLOOKUP(F423, Aircraft!A$2:C$99, 3, FALSE)</f>
        <v>S</v>
      </c>
      <c r="D423" t="str">
        <f t="shared" si="57"/>
        <v>S</v>
      </c>
      <c r="E423" t="str">
        <f t="shared" si="55"/>
        <v>PA28</v>
      </c>
      <c r="F423" t="s">
        <v>319</v>
      </c>
      <c r="G423" t="s">
        <v>83</v>
      </c>
      <c r="H423" s="2" t="str">
        <f t="shared" si="61"/>
        <v>PUT</v>
      </c>
      <c r="I423" t="s">
        <v>250</v>
      </c>
      <c r="J423" t="s">
        <v>250</v>
      </c>
      <c r="K423" s="4">
        <v>0.39930555555555558</v>
      </c>
      <c r="L423" s="4">
        <v>0.4548611111111111</v>
      </c>
      <c r="M423" s="11">
        <f t="shared" si="58"/>
        <v>0</v>
      </c>
      <c r="N423" s="11">
        <f t="shared" si="59"/>
        <v>5.5555555555555525E-2</v>
      </c>
      <c r="O423" s="11">
        <f t="shared" si="54"/>
        <v>0</v>
      </c>
      <c r="P423" s="11">
        <f t="shared" si="60"/>
        <v>0</v>
      </c>
      <c r="Q423" s="11"/>
      <c r="R423" s="11"/>
      <c r="S423" s="11"/>
      <c r="T423" s="11"/>
      <c r="V423" s="11"/>
      <c r="X423" s="11">
        <f t="shared" si="56"/>
        <v>5.5555555555555525E-2</v>
      </c>
      <c r="Y423" t="s">
        <v>283</v>
      </c>
    </row>
    <row r="424" spans="1:25" outlineLevel="1" x14ac:dyDescent="0.15">
      <c r="A424" s="3">
        <v>38256</v>
      </c>
      <c r="B424" s="3" t="str">
        <f>VLOOKUP(F424, Aircraft!A$2:C$99, 2, FALSE)</f>
        <v>PA28</v>
      </c>
      <c r="C424" t="str">
        <f>VLOOKUP(F424, Aircraft!A$2:C$99, 3, FALSE)</f>
        <v>S</v>
      </c>
      <c r="D424" t="str">
        <f t="shared" si="57"/>
        <v>S</v>
      </c>
      <c r="E424" t="str">
        <f t="shared" si="55"/>
        <v>PA28</v>
      </c>
      <c r="F424" t="s">
        <v>319</v>
      </c>
      <c r="G424" t="s">
        <v>83</v>
      </c>
      <c r="H424" s="2" t="str">
        <f t="shared" si="61"/>
        <v>PUT</v>
      </c>
      <c r="I424" t="s">
        <v>250</v>
      </c>
      <c r="J424" t="s">
        <v>250</v>
      </c>
      <c r="K424" s="4">
        <v>0.54166666666666663</v>
      </c>
      <c r="L424" s="4">
        <v>0.57638888888888895</v>
      </c>
      <c r="M424" s="11">
        <f t="shared" si="58"/>
        <v>0</v>
      </c>
      <c r="N424" s="11">
        <f t="shared" si="59"/>
        <v>3.4722222222222321E-2</v>
      </c>
      <c r="O424" s="11">
        <f t="shared" si="54"/>
        <v>0</v>
      </c>
      <c r="P424" s="11">
        <f t="shared" si="60"/>
        <v>0</v>
      </c>
      <c r="Q424" s="11"/>
      <c r="R424" s="11"/>
      <c r="S424" s="11"/>
      <c r="T424" s="11"/>
      <c r="V424" s="11"/>
      <c r="X424" s="11">
        <f t="shared" si="56"/>
        <v>3.4722222222222321E-2</v>
      </c>
      <c r="Y424" t="s">
        <v>284</v>
      </c>
    </row>
    <row r="425" spans="1:25" outlineLevel="1" x14ac:dyDescent="0.15">
      <c r="A425" s="3">
        <v>38256</v>
      </c>
      <c r="B425" s="3" t="str">
        <f>VLOOKUP(F425, Aircraft!A$2:C$99, 2, FALSE)</f>
        <v>PA28</v>
      </c>
      <c r="C425" t="str">
        <f>VLOOKUP(F425, Aircraft!A$2:C$99, 3, FALSE)</f>
        <v>S</v>
      </c>
      <c r="D425" t="str">
        <f t="shared" si="57"/>
        <v>S</v>
      </c>
      <c r="E425" t="str">
        <f t="shared" si="55"/>
        <v>PA28</v>
      </c>
      <c r="F425" t="s">
        <v>319</v>
      </c>
      <c r="G425" t="s">
        <v>191</v>
      </c>
      <c r="H425" s="2" t="str">
        <f t="shared" si="61"/>
        <v>P1</v>
      </c>
      <c r="I425" t="s">
        <v>250</v>
      </c>
      <c r="J425" t="s">
        <v>250</v>
      </c>
      <c r="K425" s="4">
        <v>0.64236111111111105</v>
      </c>
      <c r="L425" s="4">
        <v>0.68055555555555547</v>
      </c>
      <c r="M425" s="11">
        <f t="shared" si="58"/>
        <v>3.819444444444442E-2</v>
      </c>
      <c r="N425" s="11">
        <f t="shared" si="59"/>
        <v>0</v>
      </c>
      <c r="O425" s="11">
        <f t="shared" si="54"/>
        <v>0</v>
      </c>
      <c r="P425" s="11">
        <f t="shared" si="60"/>
        <v>0</v>
      </c>
      <c r="Q425" s="11"/>
      <c r="R425" s="11"/>
      <c r="S425" s="11"/>
      <c r="T425" s="11"/>
      <c r="V425" s="11"/>
      <c r="X425" s="11">
        <f t="shared" si="56"/>
        <v>3.819444444444442E-2</v>
      </c>
      <c r="Y425" t="s">
        <v>285</v>
      </c>
    </row>
    <row r="426" spans="1:25" outlineLevel="1" x14ac:dyDescent="0.15">
      <c r="A426" s="3">
        <v>38262</v>
      </c>
      <c r="B426" s="3" t="str">
        <f>VLOOKUP(F426, Aircraft!A$2:C$99, 2, FALSE)</f>
        <v>C172</v>
      </c>
      <c r="C426" t="str">
        <f>VLOOKUP(F426, Aircraft!A$2:C$99, 3, FALSE)</f>
        <v>S</v>
      </c>
      <c r="D426" t="str">
        <f t="shared" si="57"/>
        <v>S</v>
      </c>
      <c r="E426" t="str">
        <f t="shared" si="55"/>
        <v>C172</v>
      </c>
      <c r="F426" t="s">
        <v>286</v>
      </c>
      <c r="G426" t="s">
        <v>83</v>
      </c>
      <c r="H426" s="2" t="str">
        <f t="shared" si="61"/>
        <v>PUT</v>
      </c>
      <c r="I426" t="s">
        <v>250</v>
      </c>
      <c r="J426" t="s">
        <v>250</v>
      </c>
      <c r="K426" s="4">
        <v>0.57986111111111105</v>
      </c>
      <c r="L426" s="4">
        <v>0.61458333333333337</v>
      </c>
      <c r="M426" s="11">
        <f t="shared" si="58"/>
        <v>0</v>
      </c>
      <c r="N426" s="11">
        <f t="shared" si="59"/>
        <v>3.4722222222222321E-2</v>
      </c>
      <c r="O426" s="11">
        <f t="shared" si="54"/>
        <v>0</v>
      </c>
      <c r="P426" s="11">
        <f t="shared" si="60"/>
        <v>0</v>
      </c>
      <c r="Q426" s="11"/>
      <c r="R426" s="11"/>
      <c r="S426" s="11"/>
      <c r="T426" s="11"/>
      <c r="V426" s="11"/>
      <c r="X426" s="11">
        <f t="shared" si="56"/>
        <v>3.4722222222222321E-2</v>
      </c>
      <c r="Y426" t="s">
        <v>288</v>
      </c>
    </row>
    <row r="427" spans="1:25" outlineLevel="1" x14ac:dyDescent="0.15">
      <c r="A427" s="3">
        <v>38269</v>
      </c>
      <c r="B427" s="3" t="str">
        <f>VLOOKUP(F427, Aircraft!A$2:C$99, 2, FALSE)</f>
        <v>PA38</v>
      </c>
      <c r="C427" t="str">
        <f>VLOOKUP(F427, Aircraft!A$2:C$99, 3, FALSE)</f>
        <v>S</v>
      </c>
      <c r="D427" t="str">
        <f t="shared" si="57"/>
        <v>S</v>
      </c>
      <c r="E427" t="str">
        <f t="shared" si="55"/>
        <v>PA38</v>
      </c>
      <c r="F427" t="s">
        <v>540</v>
      </c>
      <c r="G427" t="s">
        <v>83</v>
      </c>
      <c r="H427" s="2" t="str">
        <f t="shared" si="61"/>
        <v>PUT</v>
      </c>
      <c r="I427" t="s">
        <v>250</v>
      </c>
      <c r="J427" t="s">
        <v>250</v>
      </c>
      <c r="K427" s="4">
        <v>0.60069444444444442</v>
      </c>
      <c r="L427" s="4">
        <v>0.65625</v>
      </c>
      <c r="M427" s="11">
        <f t="shared" si="58"/>
        <v>0</v>
      </c>
      <c r="N427" s="11">
        <f t="shared" si="59"/>
        <v>5.555555555555558E-2</v>
      </c>
      <c r="O427" s="11">
        <f t="shared" si="54"/>
        <v>0</v>
      </c>
      <c r="P427" s="11">
        <f t="shared" si="60"/>
        <v>0</v>
      </c>
      <c r="Q427" s="11"/>
      <c r="R427" s="11"/>
      <c r="S427" s="11"/>
      <c r="T427" s="11"/>
      <c r="V427" s="11"/>
      <c r="X427" s="11">
        <f t="shared" si="56"/>
        <v>5.555555555555558E-2</v>
      </c>
      <c r="Y427" t="s">
        <v>289</v>
      </c>
    </row>
    <row r="428" spans="1:25" outlineLevel="1" x14ac:dyDescent="0.15">
      <c r="A428" s="3">
        <v>38270</v>
      </c>
      <c r="B428" s="3" t="str">
        <f>VLOOKUP(F428, Aircraft!A$2:C$99, 2, FALSE)</f>
        <v>PA28</v>
      </c>
      <c r="C428" t="str">
        <f>VLOOKUP(F428, Aircraft!A$2:C$99, 3, FALSE)</f>
        <v>S</v>
      </c>
      <c r="D428" t="str">
        <f t="shared" si="57"/>
        <v>S</v>
      </c>
      <c r="E428" t="str">
        <f t="shared" si="55"/>
        <v>PA28</v>
      </c>
      <c r="F428" t="s">
        <v>319</v>
      </c>
      <c r="G428" t="s">
        <v>83</v>
      </c>
      <c r="H428" s="2" t="str">
        <f t="shared" si="61"/>
        <v>PUT</v>
      </c>
      <c r="I428" t="s">
        <v>250</v>
      </c>
      <c r="J428" t="s">
        <v>76</v>
      </c>
      <c r="K428" s="4">
        <v>0.375</v>
      </c>
      <c r="L428" s="4">
        <v>0.42708333333333331</v>
      </c>
      <c r="M428" s="11">
        <f t="shared" si="58"/>
        <v>0</v>
      </c>
      <c r="N428" s="11">
        <f t="shared" si="59"/>
        <v>5.2083333333333315E-2</v>
      </c>
      <c r="O428" s="11">
        <f t="shared" si="54"/>
        <v>0</v>
      </c>
      <c r="P428" s="11">
        <f t="shared" si="60"/>
        <v>0</v>
      </c>
      <c r="Q428" s="11"/>
      <c r="R428" s="11"/>
      <c r="S428" s="11"/>
      <c r="T428" s="11"/>
      <c r="V428" s="11"/>
      <c r="X428" s="11">
        <f t="shared" si="56"/>
        <v>5.2083333333333315E-2</v>
      </c>
      <c r="Y428" t="s">
        <v>290</v>
      </c>
    </row>
    <row r="429" spans="1:25" outlineLevel="1" x14ac:dyDescent="0.15">
      <c r="A429" s="3">
        <v>38270</v>
      </c>
      <c r="B429" s="3" t="str">
        <f>VLOOKUP(F429, Aircraft!A$2:C$99, 2, FALSE)</f>
        <v>PA28</v>
      </c>
      <c r="C429" t="str">
        <f>VLOOKUP(F429, Aircraft!A$2:C$99, 3, FALSE)</f>
        <v>S</v>
      </c>
      <c r="D429" t="str">
        <f t="shared" si="57"/>
        <v>S</v>
      </c>
      <c r="E429" t="str">
        <f t="shared" si="55"/>
        <v>PA28</v>
      </c>
      <c r="F429" t="s">
        <v>319</v>
      </c>
      <c r="G429" t="s">
        <v>83</v>
      </c>
      <c r="H429" s="2" t="str">
        <f t="shared" si="61"/>
        <v>PUT</v>
      </c>
      <c r="I429" t="s">
        <v>148</v>
      </c>
      <c r="J429" t="s">
        <v>250</v>
      </c>
      <c r="K429" s="4">
        <v>0.4513888888888889</v>
      </c>
      <c r="L429" s="4">
        <v>0.47569444444444442</v>
      </c>
      <c r="M429" s="11">
        <f t="shared" si="58"/>
        <v>0</v>
      </c>
      <c r="N429" s="11">
        <f t="shared" si="59"/>
        <v>2.4305555555555525E-2</v>
      </c>
      <c r="O429" s="11">
        <f t="shared" si="54"/>
        <v>0</v>
      </c>
      <c r="P429" s="11">
        <f t="shared" si="60"/>
        <v>0</v>
      </c>
      <c r="Q429" s="11"/>
      <c r="R429" s="11"/>
      <c r="S429" s="11"/>
      <c r="T429" s="11"/>
      <c r="V429" s="11"/>
      <c r="X429" s="11">
        <f t="shared" si="56"/>
        <v>2.4305555555555525E-2</v>
      </c>
      <c r="Y429" t="s">
        <v>291</v>
      </c>
    </row>
    <row r="430" spans="1:25" outlineLevel="1" x14ac:dyDescent="0.15">
      <c r="A430" s="3">
        <v>38270</v>
      </c>
      <c r="B430" s="3" t="str">
        <f>VLOOKUP(F430, Aircraft!A$2:C$99, 2, FALSE)</f>
        <v>PA38</v>
      </c>
      <c r="C430" t="str">
        <f>VLOOKUP(F430, Aircraft!A$2:C$99, 3, FALSE)</f>
        <v>S</v>
      </c>
      <c r="D430" t="str">
        <f t="shared" si="57"/>
        <v>S</v>
      </c>
      <c r="E430" t="str">
        <f t="shared" si="55"/>
        <v>PA38</v>
      </c>
      <c r="F430" t="s">
        <v>540</v>
      </c>
      <c r="G430" t="s">
        <v>191</v>
      </c>
      <c r="H430" s="2" t="str">
        <f t="shared" si="61"/>
        <v>P1</v>
      </c>
      <c r="I430" t="s">
        <v>250</v>
      </c>
      <c r="J430" t="s">
        <v>250</v>
      </c>
      <c r="K430" s="4">
        <v>0.60069444444444442</v>
      </c>
      <c r="L430" s="4">
        <v>0.62847222222222221</v>
      </c>
      <c r="M430" s="11">
        <f t="shared" si="58"/>
        <v>2.777777777777779E-2</v>
      </c>
      <c r="N430" s="11">
        <f t="shared" si="59"/>
        <v>0</v>
      </c>
      <c r="O430" s="11">
        <f t="shared" si="54"/>
        <v>0</v>
      </c>
      <c r="P430" s="11">
        <f t="shared" si="60"/>
        <v>0</v>
      </c>
      <c r="Q430" s="11"/>
      <c r="R430" s="11"/>
      <c r="S430" s="11"/>
      <c r="T430" s="11"/>
      <c r="V430" s="11"/>
      <c r="X430" s="11">
        <f t="shared" si="56"/>
        <v>2.777777777777779E-2</v>
      </c>
      <c r="Y430" t="s">
        <v>292</v>
      </c>
    </row>
    <row r="431" spans="1:25" outlineLevel="1" x14ac:dyDescent="0.15">
      <c r="A431" s="3">
        <v>38276</v>
      </c>
      <c r="B431" s="3" t="str">
        <f>VLOOKUP(F431, Aircraft!A$2:C$99, 2, FALSE)</f>
        <v>T67C</v>
      </c>
      <c r="C431" t="str">
        <f>VLOOKUP(F431, Aircraft!A$2:C$99, 3, FALSE)</f>
        <v>S</v>
      </c>
      <c r="D431" t="str">
        <f t="shared" si="57"/>
        <v>S</v>
      </c>
      <c r="E431" t="str">
        <f t="shared" si="55"/>
        <v>T67C</v>
      </c>
      <c r="F431" t="s">
        <v>423</v>
      </c>
      <c r="G431" t="s">
        <v>83</v>
      </c>
      <c r="H431" s="2" t="str">
        <f t="shared" si="61"/>
        <v>PUT</v>
      </c>
      <c r="I431" t="s">
        <v>250</v>
      </c>
      <c r="J431" t="s">
        <v>250</v>
      </c>
      <c r="K431" s="4">
        <v>0.3576388888888889</v>
      </c>
      <c r="L431" s="4">
        <v>0.40972222222222227</v>
      </c>
      <c r="M431" s="11">
        <f t="shared" si="58"/>
        <v>0</v>
      </c>
      <c r="N431" s="11">
        <f t="shared" si="59"/>
        <v>5.208333333333337E-2</v>
      </c>
      <c r="O431" s="11">
        <f t="shared" si="54"/>
        <v>0</v>
      </c>
      <c r="P431" s="11">
        <f t="shared" si="60"/>
        <v>0</v>
      </c>
      <c r="Q431" s="11"/>
      <c r="R431" s="11"/>
      <c r="S431" s="11"/>
      <c r="T431" s="11"/>
      <c r="V431" s="11"/>
      <c r="X431" s="11">
        <f t="shared" si="56"/>
        <v>5.208333333333337E-2</v>
      </c>
      <c r="Y431" t="s">
        <v>124</v>
      </c>
    </row>
    <row r="432" spans="1:25" outlineLevel="1" x14ac:dyDescent="0.15">
      <c r="A432" s="3">
        <v>38277</v>
      </c>
      <c r="B432" s="3" t="str">
        <f>VLOOKUP(F432, Aircraft!A$2:C$99, 2, FALSE)</f>
        <v>PA28</v>
      </c>
      <c r="C432" t="str">
        <f>VLOOKUP(F432, Aircraft!A$2:C$99, 3, FALSE)</f>
        <v>S</v>
      </c>
      <c r="D432" t="str">
        <f t="shared" si="57"/>
        <v>S</v>
      </c>
      <c r="E432" t="str">
        <f t="shared" si="55"/>
        <v>PA28</v>
      </c>
      <c r="F432" t="s">
        <v>319</v>
      </c>
      <c r="G432" t="s">
        <v>191</v>
      </c>
      <c r="H432" s="2" t="str">
        <f t="shared" si="61"/>
        <v>P1</v>
      </c>
      <c r="I432" t="s">
        <v>250</v>
      </c>
      <c r="J432" t="s">
        <v>250</v>
      </c>
      <c r="K432" s="4">
        <v>0.56944444444444442</v>
      </c>
      <c r="L432" s="4">
        <v>0.63541666666666663</v>
      </c>
      <c r="M432" s="11">
        <f t="shared" si="58"/>
        <v>6.597222222222221E-2</v>
      </c>
      <c r="N432" s="11">
        <f t="shared" si="59"/>
        <v>0</v>
      </c>
      <c r="O432" s="11">
        <f t="shared" si="54"/>
        <v>0</v>
      </c>
      <c r="P432" s="11">
        <f t="shared" si="60"/>
        <v>0</v>
      </c>
      <c r="Q432" s="11"/>
      <c r="R432" s="11"/>
      <c r="S432" s="11"/>
      <c r="T432" s="11"/>
      <c r="V432" s="11"/>
      <c r="X432" s="11">
        <f t="shared" si="56"/>
        <v>6.597222222222221E-2</v>
      </c>
      <c r="Y432" t="s">
        <v>125</v>
      </c>
    </row>
    <row r="433" spans="1:25" outlineLevel="1" x14ac:dyDescent="0.15">
      <c r="A433" s="3">
        <v>38284</v>
      </c>
      <c r="B433" s="3" t="str">
        <f>VLOOKUP(F433, Aircraft!A$2:C$99, 2, FALSE)</f>
        <v>PA28</v>
      </c>
      <c r="C433" t="str">
        <f>VLOOKUP(F433, Aircraft!A$2:C$99, 3, FALSE)</f>
        <v>S</v>
      </c>
      <c r="D433" t="str">
        <f t="shared" si="57"/>
        <v>S</v>
      </c>
      <c r="E433" t="str">
        <f t="shared" si="55"/>
        <v>PA28</v>
      </c>
      <c r="F433" t="s">
        <v>319</v>
      </c>
      <c r="G433" t="s">
        <v>83</v>
      </c>
      <c r="H433" s="2" t="str">
        <f t="shared" si="61"/>
        <v>PUT</v>
      </c>
      <c r="I433" t="s">
        <v>250</v>
      </c>
      <c r="J433" t="s">
        <v>250</v>
      </c>
      <c r="K433" s="4">
        <v>0.52083333333333337</v>
      </c>
      <c r="L433" s="4">
        <v>0.55555555555555558</v>
      </c>
      <c r="M433" s="11">
        <f t="shared" si="58"/>
        <v>0</v>
      </c>
      <c r="N433" s="11">
        <f t="shared" si="59"/>
        <v>3.472222222222221E-2</v>
      </c>
      <c r="O433" s="11">
        <f t="shared" si="54"/>
        <v>0</v>
      </c>
      <c r="P433" s="11">
        <f t="shared" si="60"/>
        <v>0</v>
      </c>
      <c r="Q433" s="11"/>
      <c r="R433" s="11"/>
      <c r="S433" s="11"/>
      <c r="T433" s="11"/>
      <c r="V433" s="11"/>
      <c r="X433" s="11">
        <f t="shared" si="56"/>
        <v>3.472222222222221E-2</v>
      </c>
      <c r="Y433" t="s">
        <v>452</v>
      </c>
    </row>
    <row r="434" spans="1:25" outlineLevel="1" x14ac:dyDescent="0.15">
      <c r="A434" s="3">
        <v>38291</v>
      </c>
      <c r="B434" s="3" t="str">
        <f>VLOOKUP(F434, Aircraft!A$2:C$99, 2, FALSE)</f>
        <v>PA28-235</v>
      </c>
      <c r="C434" t="str">
        <f>VLOOKUP(F434, Aircraft!A$2:C$99, 3, FALSE)</f>
        <v>S</v>
      </c>
      <c r="D434" t="str">
        <f t="shared" si="57"/>
        <v>S</v>
      </c>
      <c r="E434" t="str">
        <f t="shared" si="55"/>
        <v>PA28-235</v>
      </c>
      <c r="F434" t="s">
        <v>490</v>
      </c>
      <c r="G434" t="s">
        <v>191</v>
      </c>
      <c r="H434" s="2" t="str">
        <f t="shared" si="61"/>
        <v>P1</v>
      </c>
      <c r="I434" t="s">
        <v>250</v>
      </c>
      <c r="J434" t="s">
        <v>355</v>
      </c>
      <c r="K434" s="4">
        <v>0.43055555555555558</v>
      </c>
      <c r="L434" s="4">
        <v>0.47569444444444442</v>
      </c>
      <c r="M434" s="11">
        <f t="shared" si="58"/>
        <v>4.513888888888884E-2</v>
      </c>
      <c r="N434" s="11">
        <f t="shared" si="59"/>
        <v>0</v>
      </c>
      <c r="O434" s="11">
        <f t="shared" si="54"/>
        <v>0</v>
      </c>
      <c r="P434" s="11">
        <f t="shared" si="60"/>
        <v>0</v>
      </c>
      <c r="Q434" s="11"/>
      <c r="R434" s="11"/>
      <c r="S434" s="11"/>
      <c r="T434" s="11"/>
      <c r="U434" s="27">
        <v>0.3</v>
      </c>
      <c r="V434" s="11"/>
      <c r="X434" s="11">
        <f t="shared" si="56"/>
        <v>4.513888888888884E-2</v>
      </c>
    </row>
    <row r="435" spans="1:25" outlineLevel="1" x14ac:dyDescent="0.15">
      <c r="A435" s="3">
        <v>38291</v>
      </c>
      <c r="B435" s="3" t="str">
        <f>VLOOKUP(F435, Aircraft!A$2:C$99, 2, FALSE)</f>
        <v>PA28-235</v>
      </c>
      <c r="C435" t="str">
        <f>VLOOKUP(F435, Aircraft!A$2:C$99, 3, FALSE)</f>
        <v>S</v>
      </c>
      <c r="D435" t="str">
        <f t="shared" si="57"/>
        <v>S</v>
      </c>
      <c r="E435" t="str">
        <f t="shared" si="55"/>
        <v>PA28-235</v>
      </c>
      <c r="F435" t="s">
        <v>490</v>
      </c>
      <c r="G435" t="s">
        <v>191</v>
      </c>
      <c r="H435" s="2" t="str">
        <f t="shared" si="61"/>
        <v>P1</v>
      </c>
      <c r="I435" t="s">
        <v>355</v>
      </c>
      <c r="J435" t="s">
        <v>250</v>
      </c>
      <c r="K435" s="4">
        <v>0.69791666666666663</v>
      </c>
      <c r="L435" s="4">
        <v>0.74652777777777779</v>
      </c>
      <c r="M435" s="11">
        <f t="shared" si="58"/>
        <v>4.861111111111116E-2</v>
      </c>
      <c r="N435" s="11">
        <f t="shared" si="59"/>
        <v>0</v>
      </c>
      <c r="O435" s="11">
        <f t="shared" si="54"/>
        <v>0</v>
      </c>
      <c r="P435" s="11">
        <f t="shared" si="60"/>
        <v>0</v>
      </c>
      <c r="Q435" s="11"/>
      <c r="R435" s="11"/>
      <c r="S435" s="11"/>
      <c r="T435" s="11"/>
      <c r="U435" s="27">
        <v>0.3</v>
      </c>
      <c r="V435" s="11"/>
      <c r="X435" s="11">
        <f t="shared" si="56"/>
        <v>4.861111111111116E-2</v>
      </c>
    </row>
    <row r="436" spans="1:25" outlineLevel="1" x14ac:dyDescent="0.15">
      <c r="A436" s="3">
        <v>38297</v>
      </c>
      <c r="B436" s="3" t="str">
        <f>VLOOKUP(F436, Aircraft!A$2:C$99, 2, FALSE)</f>
        <v>DHC-1</v>
      </c>
      <c r="C436" t="str">
        <f>VLOOKUP(F436, Aircraft!A$2:C$99, 3, FALSE)</f>
        <v>S</v>
      </c>
      <c r="D436" t="str">
        <f t="shared" si="57"/>
        <v>S</v>
      </c>
      <c r="E436" t="str">
        <f t="shared" si="55"/>
        <v>DHC-1</v>
      </c>
      <c r="F436" t="s">
        <v>38</v>
      </c>
      <c r="G436" t="s">
        <v>39</v>
      </c>
      <c r="H436" s="2" t="str">
        <f t="shared" si="61"/>
        <v>PUT</v>
      </c>
      <c r="I436" t="s">
        <v>250</v>
      </c>
      <c r="J436" t="s">
        <v>549</v>
      </c>
      <c r="K436" s="4">
        <v>0.43055555555555558</v>
      </c>
      <c r="L436" s="4">
        <v>0.46875</v>
      </c>
      <c r="M436" s="11">
        <f t="shared" si="58"/>
        <v>0</v>
      </c>
      <c r="N436" s="11">
        <f t="shared" si="59"/>
        <v>3.819444444444442E-2</v>
      </c>
      <c r="O436" s="11">
        <f t="shared" si="54"/>
        <v>0</v>
      </c>
      <c r="P436" s="11">
        <f t="shared" si="60"/>
        <v>0</v>
      </c>
      <c r="Q436" s="11"/>
      <c r="R436" s="11"/>
      <c r="S436" s="11"/>
      <c r="T436" s="11"/>
      <c r="V436" s="11"/>
      <c r="X436" s="11">
        <f t="shared" si="56"/>
        <v>3.819444444444442E-2</v>
      </c>
      <c r="Y436" t="s">
        <v>239</v>
      </c>
    </row>
    <row r="437" spans="1:25" outlineLevel="1" x14ac:dyDescent="0.15">
      <c r="A437" s="3">
        <v>38297</v>
      </c>
      <c r="B437" s="3" t="str">
        <f>VLOOKUP(F437, Aircraft!A$2:C$99, 2, FALSE)</f>
        <v>DHC-1</v>
      </c>
      <c r="C437" t="str">
        <f>VLOOKUP(F437, Aircraft!A$2:C$99, 3, FALSE)</f>
        <v>S</v>
      </c>
      <c r="D437" t="str">
        <f t="shared" si="57"/>
        <v>S</v>
      </c>
      <c r="E437" t="str">
        <f t="shared" si="55"/>
        <v>DHC-1</v>
      </c>
      <c r="F437" t="s">
        <v>38</v>
      </c>
      <c r="G437" t="s">
        <v>39</v>
      </c>
      <c r="H437" s="2" t="str">
        <f t="shared" si="61"/>
        <v>PUT</v>
      </c>
      <c r="I437" t="s">
        <v>549</v>
      </c>
      <c r="J437" t="s">
        <v>250</v>
      </c>
      <c r="K437" s="4">
        <v>0.46875</v>
      </c>
      <c r="L437" s="4">
        <v>0.4826388888888889</v>
      </c>
      <c r="M437" s="11">
        <f t="shared" si="58"/>
        <v>0</v>
      </c>
      <c r="N437" s="11">
        <f t="shared" si="59"/>
        <v>1.3888888888888895E-2</v>
      </c>
      <c r="O437" s="11">
        <f t="shared" si="54"/>
        <v>0</v>
      </c>
      <c r="P437" s="11">
        <f t="shared" si="60"/>
        <v>0</v>
      </c>
      <c r="Q437" s="11"/>
      <c r="R437" s="11"/>
      <c r="S437" s="11"/>
      <c r="T437" s="11"/>
      <c r="V437" s="11"/>
      <c r="X437" s="11">
        <f t="shared" si="56"/>
        <v>1.3888888888888895E-2</v>
      </c>
    </row>
    <row r="438" spans="1:25" outlineLevel="1" x14ac:dyDescent="0.15">
      <c r="A438" s="3">
        <v>38298</v>
      </c>
      <c r="B438" s="3" t="str">
        <f>VLOOKUP(F438, Aircraft!A$2:C$99, 2, FALSE)</f>
        <v>PA28</v>
      </c>
      <c r="C438" t="str">
        <f>VLOOKUP(F438, Aircraft!A$2:C$99, 3, FALSE)</f>
        <v>S</v>
      </c>
      <c r="D438" t="str">
        <f t="shared" si="57"/>
        <v>S</v>
      </c>
      <c r="E438" t="str">
        <f t="shared" si="55"/>
        <v>PA28</v>
      </c>
      <c r="F438" t="s">
        <v>493</v>
      </c>
      <c r="G438" t="s">
        <v>191</v>
      </c>
      <c r="H438" s="2" t="str">
        <f t="shared" si="61"/>
        <v>P1</v>
      </c>
      <c r="I438" t="s">
        <v>250</v>
      </c>
      <c r="J438" t="s">
        <v>19</v>
      </c>
      <c r="K438" s="4">
        <v>0.47152777777777777</v>
      </c>
      <c r="L438" s="4">
        <v>0.53472222222222221</v>
      </c>
      <c r="M438" s="11">
        <f t="shared" si="58"/>
        <v>6.3194444444444442E-2</v>
      </c>
      <c r="N438" s="11">
        <f t="shared" si="59"/>
        <v>0</v>
      </c>
      <c r="O438" s="11">
        <f t="shared" si="54"/>
        <v>0</v>
      </c>
      <c r="P438" s="11">
        <f t="shared" si="60"/>
        <v>0</v>
      </c>
      <c r="Q438" s="11"/>
      <c r="R438" s="11"/>
      <c r="S438" s="11"/>
      <c r="T438" s="11"/>
      <c r="V438" s="11"/>
      <c r="X438" s="11">
        <f t="shared" si="56"/>
        <v>6.3194444444444442E-2</v>
      </c>
    </row>
    <row r="439" spans="1:25" outlineLevel="1" x14ac:dyDescent="0.15">
      <c r="A439" s="3">
        <v>38298</v>
      </c>
      <c r="B439" s="3" t="str">
        <f>VLOOKUP(F439, Aircraft!A$2:C$99, 2, FALSE)</f>
        <v>PA28</v>
      </c>
      <c r="C439" t="str">
        <f>VLOOKUP(F439, Aircraft!A$2:C$99, 3, FALSE)</f>
        <v>S</v>
      </c>
      <c r="D439" t="str">
        <f t="shared" si="57"/>
        <v>S</v>
      </c>
      <c r="E439" t="str">
        <f t="shared" si="55"/>
        <v>PA28</v>
      </c>
      <c r="F439" t="s">
        <v>493</v>
      </c>
      <c r="G439" t="s">
        <v>191</v>
      </c>
      <c r="H439" s="2" t="str">
        <f t="shared" si="61"/>
        <v>P1</v>
      </c>
      <c r="I439" t="s">
        <v>19</v>
      </c>
      <c r="J439" t="s">
        <v>250</v>
      </c>
      <c r="K439" s="4">
        <v>0.62291666666666667</v>
      </c>
      <c r="L439" s="4">
        <v>0.68402777777777779</v>
      </c>
      <c r="M439" s="11">
        <f t="shared" si="58"/>
        <v>6.1111111111111116E-2</v>
      </c>
      <c r="N439" s="11">
        <f t="shared" si="59"/>
        <v>0</v>
      </c>
      <c r="O439" s="11">
        <f t="shared" si="54"/>
        <v>0</v>
      </c>
      <c r="P439" s="11">
        <f t="shared" si="60"/>
        <v>0</v>
      </c>
      <c r="Q439" s="11"/>
      <c r="R439" s="11"/>
      <c r="S439" s="11"/>
      <c r="T439" s="11"/>
      <c r="V439" s="11"/>
      <c r="X439" s="11">
        <f t="shared" si="56"/>
        <v>6.1111111111111116E-2</v>
      </c>
    </row>
    <row r="440" spans="1:25" x14ac:dyDescent="0.15">
      <c r="O440" s="11"/>
      <c r="P440" s="11"/>
      <c r="Q440" s="11"/>
      <c r="R440" s="11"/>
      <c r="S440" s="11"/>
      <c r="T440" s="11"/>
      <c r="V440" s="11"/>
      <c r="X440" s="11"/>
    </row>
    <row r="441" spans="1:25" outlineLevel="1" x14ac:dyDescent="0.15">
      <c r="A441" s="3">
        <v>38367</v>
      </c>
      <c r="B441" s="3" t="str">
        <f>VLOOKUP(F441, Aircraft!A$2:C$99, 2, FALSE)</f>
        <v>PA23</v>
      </c>
      <c r="C441" t="str">
        <f>VLOOKUP(F441, Aircraft!A$2:C$99, 3, FALSE)</f>
        <v>T</v>
      </c>
      <c r="D441" t="str">
        <f t="shared" si="57"/>
        <v>T</v>
      </c>
      <c r="E441" t="str">
        <f t="shared" si="55"/>
        <v>PA23</v>
      </c>
      <c r="F441" t="s">
        <v>347</v>
      </c>
      <c r="G441" t="s">
        <v>191</v>
      </c>
      <c r="H441" s="2" t="str">
        <f t="shared" si="61"/>
        <v>P1</v>
      </c>
      <c r="I441" t="s">
        <v>250</v>
      </c>
      <c r="J441" t="s">
        <v>159</v>
      </c>
      <c r="K441" s="4">
        <v>0.56944444444444442</v>
      </c>
      <c r="L441" s="4">
        <v>0.63194444444444442</v>
      </c>
      <c r="M441" s="11">
        <f t="shared" si="58"/>
        <v>0</v>
      </c>
      <c r="N441" s="11">
        <f t="shared" si="59"/>
        <v>0</v>
      </c>
      <c r="O441" s="11">
        <f t="shared" si="54"/>
        <v>6.25E-2</v>
      </c>
      <c r="P441" s="11">
        <f t="shared" si="60"/>
        <v>0</v>
      </c>
      <c r="Q441" s="11"/>
      <c r="R441" s="11"/>
      <c r="S441" s="11"/>
      <c r="T441" s="11"/>
      <c r="V441" s="11"/>
      <c r="X441" s="11">
        <f t="shared" si="56"/>
        <v>6.25E-2</v>
      </c>
      <c r="Y441" t="s">
        <v>293</v>
      </c>
    </row>
    <row r="442" spans="1:25" outlineLevel="1" x14ac:dyDescent="0.15">
      <c r="A442" s="3">
        <v>38368</v>
      </c>
      <c r="B442" s="3" t="str">
        <f>VLOOKUP(F442, Aircraft!A$2:C$99, 2, FALSE)</f>
        <v>PA23</v>
      </c>
      <c r="C442" t="str">
        <f>VLOOKUP(F442, Aircraft!A$2:C$99, 3, FALSE)</f>
        <v>T</v>
      </c>
      <c r="D442" t="str">
        <f t="shared" si="57"/>
        <v>T</v>
      </c>
      <c r="E442" t="str">
        <f t="shared" si="55"/>
        <v>PA23</v>
      </c>
      <c r="F442" t="s">
        <v>347</v>
      </c>
      <c r="G442" t="s">
        <v>191</v>
      </c>
      <c r="H442" s="2" t="str">
        <f t="shared" si="61"/>
        <v>P1</v>
      </c>
      <c r="I442" t="s">
        <v>159</v>
      </c>
      <c r="J442" t="s">
        <v>250</v>
      </c>
      <c r="K442" s="4">
        <v>0.41666666666666669</v>
      </c>
      <c r="L442" s="4">
        <v>0.45833333333333331</v>
      </c>
      <c r="M442" s="11">
        <f t="shared" si="58"/>
        <v>0</v>
      </c>
      <c r="N442" s="11">
        <f t="shared" si="59"/>
        <v>0</v>
      </c>
      <c r="O442" s="11">
        <f t="shared" si="54"/>
        <v>4.166666666666663E-2</v>
      </c>
      <c r="P442" s="11">
        <f t="shared" si="60"/>
        <v>0</v>
      </c>
      <c r="Q442" s="11"/>
      <c r="R442" s="11"/>
      <c r="S442" s="11"/>
      <c r="T442" s="11"/>
      <c r="U442" s="27">
        <v>0.2</v>
      </c>
      <c r="V442" s="11"/>
      <c r="X442" s="11">
        <f t="shared" si="56"/>
        <v>4.166666666666663E-2</v>
      </c>
      <c r="Y442" t="s">
        <v>294</v>
      </c>
    </row>
    <row r="443" spans="1:25" outlineLevel="1" x14ac:dyDescent="0.15">
      <c r="A443" s="3">
        <v>38374</v>
      </c>
      <c r="B443" s="3" t="str">
        <f>VLOOKUP(F443, Aircraft!A$2:C$99, 2, FALSE)</f>
        <v>PA28</v>
      </c>
      <c r="C443" t="str">
        <f>VLOOKUP(F443, Aircraft!A$2:C$99, 3, FALSE)</f>
        <v>S</v>
      </c>
      <c r="D443" t="str">
        <f t="shared" si="57"/>
        <v>S</v>
      </c>
      <c r="E443" t="str">
        <f t="shared" si="55"/>
        <v>PA28</v>
      </c>
      <c r="F443" t="s">
        <v>295</v>
      </c>
      <c r="G443" t="s">
        <v>191</v>
      </c>
      <c r="H443" s="2" t="str">
        <f t="shared" si="61"/>
        <v>P1</v>
      </c>
      <c r="I443" t="s">
        <v>250</v>
      </c>
      <c r="J443" t="s">
        <v>250</v>
      </c>
      <c r="K443" s="4">
        <v>0.62638888888888888</v>
      </c>
      <c r="L443" s="4">
        <v>0.67291666666666661</v>
      </c>
      <c r="M443" s="11">
        <f t="shared" si="58"/>
        <v>4.6527777777777724E-2</v>
      </c>
      <c r="N443" s="11">
        <f t="shared" si="59"/>
        <v>0</v>
      </c>
      <c r="O443" s="11">
        <f t="shared" si="54"/>
        <v>0</v>
      </c>
      <c r="P443" s="11">
        <f t="shared" si="60"/>
        <v>0</v>
      </c>
      <c r="Q443" s="11"/>
      <c r="R443" s="11"/>
      <c r="S443" s="11"/>
      <c r="T443" s="11"/>
      <c r="V443" s="11">
        <f>M443</f>
        <v>4.6527777777777724E-2</v>
      </c>
      <c r="X443" s="11">
        <f t="shared" si="56"/>
        <v>4.6527777777777724E-2</v>
      </c>
      <c r="Y443" t="s">
        <v>296</v>
      </c>
    </row>
    <row r="444" spans="1:25" outlineLevel="1" x14ac:dyDescent="0.15">
      <c r="A444" s="3">
        <v>38379</v>
      </c>
      <c r="B444" s="3" t="str">
        <f>VLOOKUP(F444, Aircraft!A$2:C$99, 2, FALSE)</f>
        <v>PA23</v>
      </c>
      <c r="C444" t="str">
        <f>VLOOKUP(F444, Aircraft!A$2:C$99, 3, FALSE)</f>
        <v>T</v>
      </c>
      <c r="D444" t="str">
        <f t="shared" si="57"/>
        <v>T</v>
      </c>
      <c r="E444" t="str">
        <f t="shared" si="55"/>
        <v>PA23</v>
      </c>
      <c r="F444" t="s">
        <v>347</v>
      </c>
      <c r="G444" t="s">
        <v>191</v>
      </c>
      <c r="H444" s="2" t="str">
        <f t="shared" si="61"/>
        <v>P1</v>
      </c>
      <c r="I444" t="s">
        <v>250</v>
      </c>
      <c r="J444" t="s">
        <v>297</v>
      </c>
      <c r="K444" s="4">
        <v>0.64027777777777783</v>
      </c>
      <c r="L444" s="4">
        <v>0.73055555555555562</v>
      </c>
      <c r="M444" s="11">
        <f t="shared" si="58"/>
        <v>0</v>
      </c>
      <c r="N444" s="11">
        <f t="shared" si="59"/>
        <v>0</v>
      </c>
      <c r="O444" s="11">
        <f>105/60/24</f>
        <v>7.2916666666666671E-2</v>
      </c>
      <c r="P444" s="11">
        <f t="shared" si="60"/>
        <v>0</v>
      </c>
      <c r="Q444" s="11"/>
      <c r="R444" s="11"/>
      <c r="S444" s="11">
        <f>25/60/24</f>
        <v>1.7361111111111112E-2</v>
      </c>
      <c r="T444" s="11"/>
      <c r="U444" s="27">
        <v>0.5</v>
      </c>
      <c r="V444" s="11"/>
      <c r="X444" s="11">
        <f t="shared" si="56"/>
        <v>9.027777777777779E-2</v>
      </c>
      <c r="Y444" t="s">
        <v>298</v>
      </c>
    </row>
    <row r="445" spans="1:25" outlineLevel="1" x14ac:dyDescent="0.15">
      <c r="A445" s="3">
        <v>38380</v>
      </c>
      <c r="B445" s="3" t="str">
        <f>VLOOKUP(F445, Aircraft!A$2:C$99, 2, FALSE)</f>
        <v>PA23</v>
      </c>
      <c r="C445" t="str">
        <f>VLOOKUP(F445, Aircraft!A$2:C$99, 3, FALSE)</f>
        <v>T</v>
      </c>
      <c r="D445" t="str">
        <f t="shared" si="57"/>
        <v>T</v>
      </c>
      <c r="E445" t="str">
        <f t="shared" si="55"/>
        <v>PA23</v>
      </c>
      <c r="F445" t="s">
        <v>347</v>
      </c>
      <c r="G445" t="s">
        <v>191</v>
      </c>
      <c r="H445" s="2" t="str">
        <f t="shared" si="61"/>
        <v>P1</v>
      </c>
      <c r="I445" t="s">
        <v>146</v>
      </c>
      <c r="J445" t="s">
        <v>147</v>
      </c>
      <c r="K445" s="4">
        <v>0.35069444444444442</v>
      </c>
      <c r="L445" s="4">
        <v>0.3888888888888889</v>
      </c>
      <c r="M445" s="11">
        <f t="shared" si="58"/>
        <v>0</v>
      </c>
      <c r="N445" s="11">
        <f t="shared" si="59"/>
        <v>0</v>
      </c>
      <c r="O445" s="11">
        <f t="shared" si="54"/>
        <v>3.8194444444444475E-2</v>
      </c>
      <c r="P445" s="11">
        <f t="shared" si="60"/>
        <v>0</v>
      </c>
      <c r="Q445" s="11"/>
      <c r="R445" s="11"/>
      <c r="S445" s="11"/>
      <c r="T445" s="11"/>
      <c r="V445" s="11"/>
      <c r="X445" s="11">
        <f t="shared" si="56"/>
        <v>3.8194444444444475E-2</v>
      </c>
    </row>
    <row r="446" spans="1:25" outlineLevel="1" x14ac:dyDescent="0.15">
      <c r="A446" s="3">
        <v>38381</v>
      </c>
      <c r="B446" s="3" t="str">
        <f>VLOOKUP(F446, Aircraft!A$2:C$99, 2, FALSE)</f>
        <v>PA23</v>
      </c>
      <c r="C446" t="str">
        <f>VLOOKUP(F446, Aircraft!A$2:C$99, 3, FALSE)</f>
        <v>T</v>
      </c>
      <c r="D446" t="str">
        <f t="shared" si="57"/>
        <v>T</v>
      </c>
      <c r="E446" t="str">
        <f t="shared" si="55"/>
        <v>PA23</v>
      </c>
      <c r="F446" t="s">
        <v>347</v>
      </c>
      <c r="G446" t="s">
        <v>191</v>
      </c>
      <c r="H446" s="2" t="str">
        <f t="shared" si="61"/>
        <v>P1</v>
      </c>
      <c r="I446" t="s">
        <v>147</v>
      </c>
      <c r="J446" t="s">
        <v>250</v>
      </c>
      <c r="K446" s="4">
        <v>0.48749999999999999</v>
      </c>
      <c r="L446" s="4">
        <v>0.57499999999999996</v>
      </c>
      <c r="M446" s="11">
        <f t="shared" si="58"/>
        <v>0</v>
      </c>
      <c r="N446" s="11">
        <f t="shared" si="59"/>
        <v>0</v>
      </c>
      <c r="O446" s="11">
        <f t="shared" si="51"/>
        <v>8.7499999999999967E-2</v>
      </c>
      <c r="P446" s="11">
        <f t="shared" si="60"/>
        <v>0</v>
      </c>
      <c r="Q446" s="11"/>
      <c r="R446" s="11"/>
      <c r="S446" s="11"/>
      <c r="T446" s="11"/>
      <c r="U446" s="27">
        <v>1.4</v>
      </c>
      <c r="V446" s="11"/>
      <c r="X446" s="11">
        <f t="shared" si="56"/>
        <v>8.7499999999999967E-2</v>
      </c>
      <c r="Y446" t="s">
        <v>299</v>
      </c>
    </row>
    <row r="447" spans="1:25" outlineLevel="1" x14ac:dyDescent="0.15">
      <c r="A447" s="3">
        <v>38436</v>
      </c>
      <c r="B447" s="3" t="str">
        <f>VLOOKUP(F447, Aircraft!A$2:C$99, 2, FALSE)</f>
        <v>PA23</v>
      </c>
      <c r="C447" t="str">
        <f>VLOOKUP(F447, Aircraft!A$2:C$99, 3, FALSE)</f>
        <v>T</v>
      </c>
      <c r="D447" t="str">
        <f t="shared" si="57"/>
        <v>T</v>
      </c>
      <c r="E447" t="str">
        <f t="shared" si="55"/>
        <v>PA23</v>
      </c>
      <c r="F447" t="s">
        <v>347</v>
      </c>
      <c r="G447" t="s">
        <v>191</v>
      </c>
      <c r="H447" s="2" t="str">
        <f t="shared" si="61"/>
        <v>P1</v>
      </c>
      <c r="I447" t="s">
        <v>250</v>
      </c>
      <c r="J447" t="s">
        <v>1</v>
      </c>
      <c r="K447" s="4">
        <v>0.3611111111111111</v>
      </c>
      <c r="L447" s="4">
        <v>0.41319444444444442</v>
      </c>
      <c r="M447" s="11">
        <f t="shared" si="58"/>
        <v>0</v>
      </c>
      <c r="N447" s="11">
        <f t="shared" si="59"/>
        <v>0</v>
      </c>
      <c r="O447" s="11">
        <f t="shared" si="54"/>
        <v>5.2083333333333315E-2</v>
      </c>
      <c r="P447" s="11">
        <f t="shared" si="60"/>
        <v>0</v>
      </c>
      <c r="Q447" s="11"/>
      <c r="R447" s="11"/>
      <c r="S447" s="11"/>
      <c r="T447" s="11"/>
      <c r="V447" s="11"/>
      <c r="X447" s="11">
        <f t="shared" si="56"/>
        <v>5.2083333333333315E-2</v>
      </c>
      <c r="Y447" t="s">
        <v>300</v>
      </c>
    </row>
    <row r="448" spans="1:25" outlineLevel="1" x14ac:dyDescent="0.15">
      <c r="A448" s="3">
        <v>38436</v>
      </c>
      <c r="B448" s="3" t="str">
        <f>VLOOKUP(F448, Aircraft!A$2:C$99, 2, FALSE)</f>
        <v>PA23</v>
      </c>
      <c r="C448" t="str">
        <f>VLOOKUP(F448, Aircraft!A$2:C$99, 3, FALSE)</f>
        <v>T</v>
      </c>
      <c r="D448" t="str">
        <f t="shared" si="57"/>
        <v>T</v>
      </c>
      <c r="E448" t="str">
        <f t="shared" si="55"/>
        <v>PA23</v>
      </c>
      <c r="F448" t="s">
        <v>347</v>
      </c>
      <c r="G448" t="s">
        <v>191</v>
      </c>
      <c r="H448" s="2" t="str">
        <f t="shared" si="61"/>
        <v>P1</v>
      </c>
      <c r="I448" t="s">
        <v>1</v>
      </c>
      <c r="J448" t="s">
        <v>0</v>
      </c>
      <c r="K448" s="4">
        <v>0.4375</v>
      </c>
      <c r="L448" s="4">
        <v>0.61111111111111105</v>
      </c>
      <c r="M448" s="11">
        <f t="shared" si="58"/>
        <v>0</v>
      </c>
      <c r="N448" s="11">
        <f t="shared" si="59"/>
        <v>0</v>
      </c>
      <c r="O448" s="11">
        <f t="shared" si="54"/>
        <v>0.17361111111111105</v>
      </c>
      <c r="P448" s="11">
        <f t="shared" si="60"/>
        <v>0</v>
      </c>
      <c r="Q448" s="11"/>
      <c r="R448" s="11"/>
      <c r="S448" s="11"/>
      <c r="T448" s="11"/>
      <c r="V448" s="11"/>
      <c r="X448" s="11">
        <f t="shared" si="56"/>
        <v>0.17361111111111105</v>
      </c>
      <c r="Y448" t="s">
        <v>843</v>
      </c>
    </row>
    <row r="449" spans="1:25" outlineLevel="1" x14ac:dyDescent="0.15">
      <c r="A449" s="3">
        <v>38444</v>
      </c>
      <c r="B449" s="3" t="str">
        <f>VLOOKUP(F449, Aircraft!A$2:C$99, 2, FALSE)</f>
        <v>PA23</v>
      </c>
      <c r="C449" t="str">
        <f>VLOOKUP(F449, Aircraft!A$2:C$99, 3, FALSE)</f>
        <v>T</v>
      </c>
      <c r="D449" t="str">
        <f t="shared" si="57"/>
        <v>T</v>
      </c>
      <c r="E449" t="str">
        <f t="shared" si="55"/>
        <v>PA23</v>
      </c>
      <c r="F449" t="s">
        <v>347</v>
      </c>
      <c r="G449" t="s">
        <v>191</v>
      </c>
      <c r="H449" s="2" t="str">
        <f t="shared" si="61"/>
        <v>P1</v>
      </c>
      <c r="I449" t="s">
        <v>0</v>
      </c>
      <c r="J449" t="s">
        <v>1</v>
      </c>
      <c r="K449" s="4">
        <v>0.49652777777777773</v>
      </c>
      <c r="L449" s="4">
        <v>0.64930555555555558</v>
      </c>
      <c r="M449" s="11">
        <f t="shared" si="58"/>
        <v>0</v>
      </c>
      <c r="N449" s="11">
        <f t="shared" si="59"/>
        <v>0</v>
      </c>
      <c r="O449" s="11">
        <f t="shared" si="54"/>
        <v>0.15277777777777785</v>
      </c>
      <c r="P449" s="11">
        <f t="shared" si="60"/>
        <v>0</v>
      </c>
      <c r="Q449" s="11"/>
      <c r="R449" s="11"/>
      <c r="S449" s="11"/>
      <c r="T449" s="11"/>
      <c r="V449" s="11"/>
      <c r="X449" s="11">
        <f t="shared" si="56"/>
        <v>0.15277777777777785</v>
      </c>
      <c r="Y449" t="s">
        <v>844</v>
      </c>
    </row>
    <row r="450" spans="1:25" outlineLevel="1" x14ac:dyDescent="0.15">
      <c r="A450" s="3">
        <v>38444</v>
      </c>
      <c r="B450" s="3" t="str">
        <f>VLOOKUP(F450, Aircraft!A$2:C$99, 2, FALSE)</f>
        <v>PA23</v>
      </c>
      <c r="C450" t="str">
        <f>VLOOKUP(F450, Aircraft!A$2:C$99, 3, FALSE)</f>
        <v>T</v>
      </c>
      <c r="D450" t="str">
        <f t="shared" si="57"/>
        <v>T</v>
      </c>
      <c r="E450" t="str">
        <f t="shared" si="55"/>
        <v>PA23</v>
      </c>
      <c r="F450" t="s">
        <v>347</v>
      </c>
      <c r="G450" t="s">
        <v>191</v>
      </c>
      <c r="H450" s="2" t="str">
        <f t="shared" si="61"/>
        <v>P1</v>
      </c>
      <c r="I450" t="s">
        <v>1</v>
      </c>
      <c r="J450" t="s">
        <v>250</v>
      </c>
      <c r="K450" s="4">
        <v>0.67361111111111116</v>
      </c>
      <c r="L450" s="4">
        <v>0.72569444444444453</v>
      </c>
      <c r="M450" s="11">
        <f t="shared" si="58"/>
        <v>0</v>
      </c>
      <c r="N450" s="11">
        <f t="shared" si="59"/>
        <v>0</v>
      </c>
      <c r="O450" s="11">
        <f t="shared" si="54"/>
        <v>5.208333333333337E-2</v>
      </c>
      <c r="P450" s="11">
        <f t="shared" si="60"/>
        <v>0</v>
      </c>
      <c r="Q450" s="11"/>
      <c r="R450" s="11"/>
      <c r="S450" s="11"/>
      <c r="T450" s="11"/>
      <c r="V450" s="11"/>
      <c r="X450" s="11">
        <f t="shared" si="56"/>
        <v>5.208333333333337E-2</v>
      </c>
    </row>
    <row r="451" spans="1:25" outlineLevel="1" x14ac:dyDescent="0.15">
      <c r="A451" s="3">
        <v>38478</v>
      </c>
      <c r="B451" s="3" t="str">
        <f>VLOOKUP(F451, Aircraft!A$2:C$99, 2, FALSE)</f>
        <v>PA28</v>
      </c>
      <c r="C451" t="str">
        <f>VLOOKUP(F451, Aircraft!A$2:C$99, 3, FALSE)</f>
        <v>S</v>
      </c>
      <c r="D451" t="str">
        <f t="shared" si="57"/>
        <v>S</v>
      </c>
      <c r="E451" t="str">
        <f t="shared" si="55"/>
        <v>PA28</v>
      </c>
      <c r="F451" t="s">
        <v>493</v>
      </c>
      <c r="G451" t="s">
        <v>191</v>
      </c>
      <c r="H451" s="2" t="str">
        <f t="shared" si="61"/>
        <v>P1</v>
      </c>
      <c r="I451" t="s">
        <v>250</v>
      </c>
      <c r="J451" t="s">
        <v>250</v>
      </c>
      <c r="K451" s="4">
        <v>0.61111111111111105</v>
      </c>
      <c r="L451" s="4">
        <v>0.63194444444444442</v>
      </c>
      <c r="M451" s="11">
        <f t="shared" si="58"/>
        <v>2.083333333333337E-2</v>
      </c>
      <c r="N451" s="11">
        <f t="shared" si="59"/>
        <v>0</v>
      </c>
      <c r="O451" s="11">
        <f t="shared" si="54"/>
        <v>0</v>
      </c>
      <c r="P451" s="11">
        <f t="shared" si="60"/>
        <v>0</v>
      </c>
      <c r="Q451" s="11"/>
      <c r="R451" s="11"/>
      <c r="S451" s="11"/>
      <c r="T451" s="11"/>
      <c r="V451" s="11"/>
      <c r="X451" s="11">
        <f t="shared" si="56"/>
        <v>2.083333333333337E-2</v>
      </c>
      <c r="Y451" t="s">
        <v>845</v>
      </c>
    </row>
    <row r="452" spans="1:25" outlineLevel="1" x14ac:dyDescent="0.15">
      <c r="A452" s="3">
        <v>38478</v>
      </c>
      <c r="B452" s="3" t="str">
        <f>VLOOKUP(F452, Aircraft!A$2:C$99, 2, FALSE)</f>
        <v>PA28</v>
      </c>
      <c r="C452" t="str">
        <f>VLOOKUP(F452, Aircraft!A$2:C$99, 3, FALSE)</f>
        <v>S</v>
      </c>
      <c r="D452" t="str">
        <f t="shared" si="57"/>
        <v>S</v>
      </c>
      <c r="E452" t="str">
        <f t="shared" si="55"/>
        <v>PA28</v>
      </c>
      <c r="F452" t="s">
        <v>493</v>
      </c>
      <c r="G452" t="s">
        <v>191</v>
      </c>
      <c r="H452" s="2" t="str">
        <f t="shared" si="61"/>
        <v>P1</v>
      </c>
      <c r="I452" t="s">
        <v>250</v>
      </c>
      <c r="J452" t="s">
        <v>250</v>
      </c>
      <c r="K452" s="4">
        <v>0.63749999999999996</v>
      </c>
      <c r="L452" s="4">
        <v>0.69097222222222221</v>
      </c>
      <c r="M452" s="11">
        <f t="shared" si="58"/>
        <v>5.3472222222222254E-2</v>
      </c>
      <c r="N452" s="11">
        <f t="shared" si="59"/>
        <v>0</v>
      </c>
      <c r="O452" s="11">
        <f t="shared" si="54"/>
        <v>0</v>
      </c>
      <c r="P452" s="11">
        <f t="shared" si="60"/>
        <v>0</v>
      </c>
      <c r="Q452" s="11"/>
      <c r="R452" s="11"/>
      <c r="S452" s="11"/>
      <c r="T452" s="11"/>
      <c r="V452" s="11"/>
      <c r="X452" s="11">
        <f t="shared" si="56"/>
        <v>5.3472222222222254E-2</v>
      </c>
      <c r="Y452" t="s">
        <v>846</v>
      </c>
    </row>
    <row r="453" spans="1:25" outlineLevel="1" x14ac:dyDescent="0.15">
      <c r="A453" s="3">
        <v>38507</v>
      </c>
      <c r="B453" s="3" t="str">
        <f>VLOOKUP(F453, Aircraft!A$2:C$99, 2, FALSE)</f>
        <v>BE76</v>
      </c>
      <c r="C453" t="str">
        <f>VLOOKUP(F453, Aircraft!A$2:C$99, 3, FALSE)</f>
        <v>T</v>
      </c>
      <c r="D453" t="str">
        <f t="shared" si="57"/>
        <v>T</v>
      </c>
      <c r="E453" t="str">
        <f t="shared" si="55"/>
        <v>BE76</v>
      </c>
      <c r="F453" t="s">
        <v>847</v>
      </c>
      <c r="G453" t="s">
        <v>652</v>
      </c>
      <c r="H453" s="2" t="str">
        <f t="shared" si="61"/>
        <v>PUT</v>
      </c>
      <c r="I453" t="s">
        <v>250</v>
      </c>
      <c r="J453" t="s">
        <v>250</v>
      </c>
      <c r="K453" s="4">
        <v>0.52083333333333337</v>
      </c>
      <c r="L453" s="4">
        <v>0.57638888888888895</v>
      </c>
      <c r="M453" s="11">
        <f t="shared" si="58"/>
        <v>0</v>
      </c>
      <c r="N453" s="11">
        <f t="shared" si="59"/>
        <v>0</v>
      </c>
      <c r="O453" s="11">
        <f t="shared" si="54"/>
        <v>0</v>
      </c>
      <c r="P453" s="11">
        <f t="shared" si="60"/>
        <v>5.555555555555558E-2</v>
      </c>
      <c r="Q453" s="11"/>
      <c r="R453" s="11"/>
      <c r="S453" s="11"/>
      <c r="T453" s="11"/>
      <c r="V453" s="11"/>
      <c r="X453" s="11">
        <f t="shared" si="56"/>
        <v>5.555555555555558E-2</v>
      </c>
      <c r="Y453" t="s">
        <v>653</v>
      </c>
    </row>
    <row r="454" spans="1:25" outlineLevel="1" x14ac:dyDescent="0.15">
      <c r="A454" s="3">
        <v>38508</v>
      </c>
      <c r="B454" s="3" t="str">
        <f>VLOOKUP(F454, Aircraft!A$2:C$99, 2, FALSE)</f>
        <v>BE76</v>
      </c>
      <c r="C454" t="str">
        <f>VLOOKUP(F454, Aircraft!A$2:C$99, 3, FALSE)</f>
        <v>T</v>
      </c>
      <c r="D454" t="str">
        <f t="shared" si="57"/>
        <v>T</v>
      </c>
      <c r="E454" t="str">
        <f t="shared" si="55"/>
        <v>BE76</v>
      </c>
      <c r="F454" t="s">
        <v>847</v>
      </c>
      <c r="G454" t="s">
        <v>652</v>
      </c>
      <c r="H454" s="2" t="str">
        <f t="shared" si="61"/>
        <v>PUT</v>
      </c>
      <c r="I454" t="s">
        <v>250</v>
      </c>
      <c r="J454" t="s">
        <v>76</v>
      </c>
      <c r="K454" s="4">
        <v>0.46527777777777773</v>
      </c>
      <c r="L454" s="4">
        <v>0.49652777777777773</v>
      </c>
      <c r="M454" s="11">
        <f t="shared" si="58"/>
        <v>0</v>
      </c>
      <c r="N454" s="11">
        <f t="shared" si="59"/>
        <v>0</v>
      </c>
      <c r="O454" s="11">
        <f t="shared" si="54"/>
        <v>0</v>
      </c>
      <c r="P454" s="11">
        <f t="shared" si="60"/>
        <v>3.125E-2</v>
      </c>
      <c r="Q454" s="11"/>
      <c r="R454" s="11"/>
      <c r="S454" s="11"/>
      <c r="T454" s="11"/>
      <c r="V454" s="11"/>
      <c r="X454" s="11">
        <f t="shared" si="56"/>
        <v>3.125E-2</v>
      </c>
      <c r="Y454" t="s">
        <v>654</v>
      </c>
    </row>
    <row r="455" spans="1:25" outlineLevel="1" x14ac:dyDescent="0.15">
      <c r="A455" s="3">
        <v>38508</v>
      </c>
      <c r="B455" s="3" t="str">
        <f>VLOOKUP(F455, Aircraft!A$2:C$99, 2, FALSE)</f>
        <v>BE76</v>
      </c>
      <c r="C455" t="str">
        <f>VLOOKUP(F455, Aircraft!A$2:C$99, 3, FALSE)</f>
        <v>T</v>
      </c>
      <c r="D455" t="str">
        <f t="shared" si="57"/>
        <v>T</v>
      </c>
      <c r="E455" t="str">
        <f t="shared" si="55"/>
        <v>BE76</v>
      </c>
      <c r="F455" t="s">
        <v>847</v>
      </c>
      <c r="G455" t="s">
        <v>191</v>
      </c>
      <c r="H455" s="2" t="str">
        <f t="shared" si="61"/>
        <v>P1</v>
      </c>
      <c r="I455" t="s">
        <v>148</v>
      </c>
      <c r="J455" t="s">
        <v>250</v>
      </c>
      <c r="K455" s="4">
        <v>0.55208333333333337</v>
      </c>
      <c r="L455" s="4">
        <v>0.57986111111111105</v>
      </c>
      <c r="M455" s="11">
        <f t="shared" si="58"/>
        <v>0</v>
      </c>
      <c r="N455" s="11">
        <f t="shared" si="59"/>
        <v>0</v>
      </c>
      <c r="O455" s="11">
        <f t="shared" si="54"/>
        <v>2.7777777777777679E-2</v>
      </c>
      <c r="P455" s="11">
        <f t="shared" si="60"/>
        <v>0</v>
      </c>
      <c r="Q455" s="11"/>
      <c r="R455" s="11"/>
      <c r="S455" s="11"/>
      <c r="T455" s="11"/>
      <c r="V455" s="11"/>
      <c r="X455" s="11">
        <f t="shared" si="56"/>
        <v>2.7777777777777679E-2</v>
      </c>
    </row>
    <row r="456" spans="1:25" outlineLevel="1" x14ac:dyDescent="0.15">
      <c r="A456" s="3">
        <v>38514</v>
      </c>
      <c r="B456" s="3" t="str">
        <f>VLOOKUP(F456, Aircraft!A$2:C$99, 2, FALSE)</f>
        <v>BE76</v>
      </c>
      <c r="C456" t="str">
        <f>VLOOKUP(F456, Aircraft!A$2:C$99, 3, FALSE)</f>
        <v>T</v>
      </c>
      <c r="D456" t="str">
        <f t="shared" si="57"/>
        <v>T</v>
      </c>
      <c r="E456" t="str">
        <f t="shared" si="55"/>
        <v>BE76</v>
      </c>
      <c r="F456" t="s">
        <v>847</v>
      </c>
      <c r="G456" t="s">
        <v>191</v>
      </c>
      <c r="H456" s="2" t="str">
        <f t="shared" si="61"/>
        <v>P1</v>
      </c>
      <c r="I456" t="s">
        <v>250</v>
      </c>
      <c r="J456" t="s">
        <v>64</v>
      </c>
      <c r="K456" s="4">
        <v>0.41666666666666669</v>
      </c>
      <c r="L456" s="4">
        <v>0.51388888888888895</v>
      </c>
      <c r="M456" s="11">
        <f t="shared" si="58"/>
        <v>0</v>
      </c>
      <c r="N456" s="11">
        <f t="shared" si="59"/>
        <v>0</v>
      </c>
      <c r="O456" s="11">
        <f t="shared" si="54"/>
        <v>9.7222222222222265E-2</v>
      </c>
      <c r="P456" s="11">
        <f t="shared" si="60"/>
        <v>0</v>
      </c>
      <c r="Q456" s="11"/>
      <c r="R456" s="11"/>
      <c r="S456" s="11"/>
      <c r="T456" s="11"/>
      <c r="U456" s="27">
        <v>0.5</v>
      </c>
      <c r="V456" s="11"/>
      <c r="X456" s="11">
        <f t="shared" si="56"/>
        <v>9.7222222222222265E-2</v>
      </c>
    </row>
    <row r="457" spans="1:25" outlineLevel="1" x14ac:dyDescent="0.15">
      <c r="A457" s="3">
        <v>38515</v>
      </c>
      <c r="B457" s="3" t="str">
        <f>VLOOKUP(F457, Aircraft!A$2:C$99, 2, FALSE)</f>
        <v>BE76</v>
      </c>
      <c r="C457" t="str">
        <f>VLOOKUP(F457, Aircraft!A$2:C$99, 3, FALSE)</f>
        <v>T</v>
      </c>
      <c r="D457" t="str">
        <f t="shared" si="57"/>
        <v>T</v>
      </c>
      <c r="E457" t="str">
        <f t="shared" si="55"/>
        <v>BE76</v>
      </c>
      <c r="F457" t="s">
        <v>847</v>
      </c>
      <c r="G457" t="s">
        <v>191</v>
      </c>
      <c r="H457" s="2" t="str">
        <f t="shared" si="61"/>
        <v>P1</v>
      </c>
      <c r="I457" t="s">
        <v>64</v>
      </c>
      <c r="J457" t="s">
        <v>250</v>
      </c>
      <c r="K457" s="4">
        <v>0.53819444444444442</v>
      </c>
      <c r="L457" s="4">
        <v>0.63194444444444442</v>
      </c>
      <c r="M457" s="11">
        <f t="shared" si="58"/>
        <v>0</v>
      </c>
      <c r="N457" s="11">
        <f t="shared" si="59"/>
        <v>0</v>
      </c>
      <c r="O457" s="11">
        <f t="shared" si="54"/>
        <v>9.375E-2</v>
      </c>
      <c r="P457" s="11">
        <f t="shared" si="60"/>
        <v>0</v>
      </c>
      <c r="Q457" s="11"/>
      <c r="R457" s="11"/>
      <c r="S457" s="11"/>
      <c r="T457" s="11"/>
      <c r="U457" s="27">
        <v>0.7</v>
      </c>
      <c r="V457" s="11"/>
      <c r="X457" s="11">
        <f t="shared" si="56"/>
        <v>9.375E-2</v>
      </c>
      <c r="Y457" t="s">
        <v>655</v>
      </c>
    </row>
    <row r="458" spans="1:25" outlineLevel="1" x14ac:dyDescent="0.15">
      <c r="A458" s="3">
        <v>38528</v>
      </c>
      <c r="B458" s="3" t="str">
        <f>VLOOKUP(F458, Aircraft!A$2:C$99, 2, FALSE)</f>
        <v>PA28</v>
      </c>
      <c r="C458" t="str">
        <f>VLOOKUP(F458, Aircraft!A$2:C$99, 3, FALSE)</f>
        <v>S</v>
      </c>
      <c r="D458" t="str">
        <f t="shared" si="57"/>
        <v>S</v>
      </c>
      <c r="E458" t="str">
        <f t="shared" si="55"/>
        <v>PA28</v>
      </c>
      <c r="F458" t="s">
        <v>319</v>
      </c>
      <c r="G458" t="s">
        <v>191</v>
      </c>
      <c r="H458" s="2" t="str">
        <f t="shared" si="61"/>
        <v>P1</v>
      </c>
      <c r="I458" t="s">
        <v>28</v>
      </c>
      <c r="J458" t="s">
        <v>28</v>
      </c>
      <c r="K458" s="4">
        <v>0.38541666666666669</v>
      </c>
      <c r="L458" s="4">
        <v>0.41666666666666669</v>
      </c>
      <c r="M458" s="11">
        <f t="shared" si="58"/>
        <v>3.125E-2</v>
      </c>
      <c r="N458" s="11">
        <f t="shared" si="59"/>
        <v>0</v>
      </c>
      <c r="O458" s="11">
        <f t="shared" si="54"/>
        <v>0</v>
      </c>
      <c r="P458" s="11">
        <f t="shared" si="60"/>
        <v>0</v>
      </c>
      <c r="Q458" s="11"/>
      <c r="R458" s="11"/>
      <c r="S458" s="11"/>
      <c r="T458" s="11"/>
      <c r="V458" s="11"/>
      <c r="X458" s="11">
        <f t="shared" si="56"/>
        <v>3.125E-2</v>
      </c>
      <c r="Y458" t="s">
        <v>665</v>
      </c>
    </row>
    <row r="459" spans="1:25" outlineLevel="1" x14ac:dyDescent="0.15">
      <c r="A459" s="3">
        <v>38529</v>
      </c>
      <c r="B459" s="3" t="str">
        <f>VLOOKUP(F459, Aircraft!A$2:C$99, 2, FALSE)</f>
        <v>PA28</v>
      </c>
      <c r="C459" t="str">
        <f>VLOOKUP(F459, Aircraft!A$2:C$99, 3, FALSE)</f>
        <v>S</v>
      </c>
      <c r="D459" t="str">
        <f t="shared" si="57"/>
        <v>S</v>
      </c>
      <c r="E459" t="str">
        <f t="shared" si="55"/>
        <v>PA28</v>
      </c>
      <c r="F459" t="s">
        <v>319</v>
      </c>
      <c r="G459" t="s">
        <v>191</v>
      </c>
      <c r="H459" s="2" t="str">
        <f t="shared" si="61"/>
        <v>P1</v>
      </c>
      <c r="I459" t="s">
        <v>20</v>
      </c>
      <c r="J459" t="s">
        <v>250</v>
      </c>
      <c r="K459" s="4">
        <v>0.69444444444444453</v>
      </c>
      <c r="L459" s="4">
        <v>0.74305555555555547</v>
      </c>
      <c r="M459" s="11">
        <f t="shared" si="58"/>
        <v>4.8611111111110938E-2</v>
      </c>
      <c r="N459" s="11">
        <f t="shared" si="59"/>
        <v>0</v>
      </c>
      <c r="O459" s="11">
        <f t="shared" si="54"/>
        <v>0</v>
      </c>
      <c r="P459" s="11">
        <f t="shared" si="60"/>
        <v>0</v>
      </c>
      <c r="Q459" s="11"/>
      <c r="R459" s="11"/>
      <c r="S459" s="11"/>
      <c r="T459" s="11"/>
      <c r="V459" s="11">
        <f>M459</f>
        <v>4.8611111111110938E-2</v>
      </c>
      <c r="X459" s="11">
        <f t="shared" si="56"/>
        <v>4.8611111111110938E-2</v>
      </c>
      <c r="Y459" t="s">
        <v>666</v>
      </c>
    </row>
    <row r="460" spans="1:25" outlineLevel="1" x14ac:dyDescent="0.15">
      <c r="A460" s="3">
        <v>38531</v>
      </c>
      <c r="B460" s="3" t="str">
        <f>VLOOKUP(F460, Aircraft!A$2:C$99, 2, FALSE)</f>
        <v>PA34</v>
      </c>
      <c r="C460" t="str">
        <f>VLOOKUP(F460, Aircraft!A$2:C$99, 3, FALSE)</f>
        <v>T</v>
      </c>
      <c r="D460" t="str">
        <f t="shared" si="57"/>
        <v>T</v>
      </c>
      <c r="E460" t="str">
        <f t="shared" si="55"/>
        <v>PA34</v>
      </c>
      <c r="F460" t="s">
        <v>224</v>
      </c>
      <c r="G460" t="s">
        <v>191</v>
      </c>
      <c r="H460" s="2" t="str">
        <f t="shared" si="61"/>
        <v>P1</v>
      </c>
      <c r="I460" t="s">
        <v>20</v>
      </c>
      <c r="J460" t="s">
        <v>250</v>
      </c>
      <c r="K460" s="4">
        <v>0.52777777777777779</v>
      </c>
      <c r="L460" s="4">
        <v>0.5625</v>
      </c>
      <c r="M460" s="11">
        <f t="shared" si="58"/>
        <v>0</v>
      </c>
      <c r="N460" s="11">
        <f t="shared" si="59"/>
        <v>0</v>
      </c>
      <c r="O460" s="11">
        <f t="shared" si="54"/>
        <v>3.472222222222221E-2</v>
      </c>
      <c r="P460" s="11">
        <f t="shared" si="60"/>
        <v>0</v>
      </c>
      <c r="Q460" s="11"/>
      <c r="R460" s="11"/>
      <c r="S460" s="11"/>
      <c r="T460" s="11"/>
      <c r="V460" s="11"/>
      <c r="X460" s="11">
        <f t="shared" si="56"/>
        <v>3.472222222222221E-2</v>
      </c>
    </row>
    <row r="461" spans="1:25" outlineLevel="1" x14ac:dyDescent="0.15">
      <c r="A461" s="3">
        <v>38532</v>
      </c>
      <c r="B461" s="3" t="str">
        <f>VLOOKUP(F461, Aircraft!A$2:C$99, 2, FALSE)</f>
        <v>DHC-1</v>
      </c>
      <c r="C461" t="str">
        <f>VLOOKUP(F461, Aircraft!A$2:C$99, 3, FALSE)</f>
        <v>S</v>
      </c>
      <c r="D461" t="str">
        <f t="shared" si="57"/>
        <v>S</v>
      </c>
      <c r="E461" t="str">
        <f t="shared" ref="E461:E500" si="62">IF(ISNA(B461), "", B461)</f>
        <v>DHC-1</v>
      </c>
      <c r="F461" t="s">
        <v>38</v>
      </c>
      <c r="G461" t="s">
        <v>41</v>
      </c>
      <c r="H461" s="2" t="str">
        <f t="shared" si="61"/>
        <v>PUT</v>
      </c>
      <c r="I461" t="s">
        <v>250</v>
      </c>
      <c r="J461" t="s">
        <v>549</v>
      </c>
      <c r="K461" s="4">
        <v>0.46527777777777773</v>
      </c>
      <c r="L461" s="4">
        <v>0.50694444444444442</v>
      </c>
      <c r="M461" s="11">
        <f t="shared" si="58"/>
        <v>0</v>
      </c>
      <c r="N461" s="11">
        <f t="shared" si="59"/>
        <v>4.1666666666666685E-2</v>
      </c>
      <c r="O461" s="11">
        <f t="shared" si="54"/>
        <v>0</v>
      </c>
      <c r="P461" s="11">
        <f t="shared" si="60"/>
        <v>0</v>
      </c>
      <c r="Q461" s="11"/>
      <c r="R461" s="11"/>
      <c r="S461" s="11"/>
      <c r="T461" s="11"/>
      <c r="V461" s="11"/>
      <c r="X461" s="11">
        <f t="shared" si="56"/>
        <v>4.1666666666666685E-2</v>
      </c>
      <c r="Y461" t="s">
        <v>513</v>
      </c>
    </row>
    <row r="462" spans="1:25" outlineLevel="1" x14ac:dyDescent="0.15">
      <c r="A462" s="3">
        <v>38532</v>
      </c>
      <c r="B462" s="3" t="str">
        <f>VLOOKUP(F462, Aircraft!A$2:C$99, 2, FALSE)</f>
        <v>DHC-1</v>
      </c>
      <c r="C462" t="str">
        <f>VLOOKUP(F462, Aircraft!A$2:C$99, 3, FALSE)</f>
        <v>S</v>
      </c>
      <c r="D462" t="str">
        <f t="shared" si="57"/>
        <v>S</v>
      </c>
      <c r="E462" t="str">
        <f t="shared" si="62"/>
        <v>DHC-1</v>
      </c>
      <c r="F462" t="s">
        <v>38</v>
      </c>
      <c r="G462" t="s">
        <v>41</v>
      </c>
      <c r="H462" s="2" t="str">
        <f t="shared" si="61"/>
        <v>PUT</v>
      </c>
      <c r="I462" t="s">
        <v>549</v>
      </c>
      <c r="J462" t="s">
        <v>250</v>
      </c>
      <c r="K462" s="4">
        <v>0.50694444444444442</v>
      </c>
      <c r="L462" s="4">
        <v>0.52083333333333337</v>
      </c>
      <c r="M462" s="11">
        <f t="shared" si="58"/>
        <v>0</v>
      </c>
      <c r="N462" s="11">
        <f t="shared" si="59"/>
        <v>1.3888888888888951E-2</v>
      </c>
      <c r="O462" s="11">
        <f t="shared" si="54"/>
        <v>0</v>
      </c>
      <c r="P462" s="11">
        <f t="shared" si="60"/>
        <v>0</v>
      </c>
      <c r="Q462" s="11"/>
      <c r="R462" s="11"/>
      <c r="S462" s="11"/>
      <c r="T462" s="11"/>
      <c r="V462" s="11"/>
      <c r="X462" s="11">
        <f t="shared" si="56"/>
        <v>1.3888888888888951E-2</v>
      </c>
    </row>
    <row r="463" spans="1:25" outlineLevel="1" x14ac:dyDescent="0.15">
      <c r="A463" s="3">
        <v>38535</v>
      </c>
      <c r="B463" s="3" t="str">
        <f>VLOOKUP(F463, Aircraft!A$2:C$99, 2, FALSE)</f>
        <v>DHC-1</v>
      </c>
      <c r="C463" t="str">
        <f>VLOOKUP(F463, Aircraft!A$2:C$99, 3, FALSE)</f>
        <v>S</v>
      </c>
      <c r="D463" t="str">
        <f t="shared" si="57"/>
        <v>S</v>
      </c>
      <c r="E463" t="str">
        <f t="shared" si="62"/>
        <v>DHC-1</v>
      </c>
      <c r="F463" t="s">
        <v>38</v>
      </c>
      <c r="G463" t="s">
        <v>41</v>
      </c>
      <c r="H463" s="2" t="str">
        <f t="shared" si="61"/>
        <v>PUT</v>
      </c>
      <c r="I463" t="s">
        <v>250</v>
      </c>
      <c r="J463" t="s">
        <v>549</v>
      </c>
      <c r="K463" s="4">
        <v>0.50208333333333333</v>
      </c>
      <c r="L463" s="4">
        <v>0.54166666666666663</v>
      </c>
      <c r="M463" s="11">
        <f t="shared" si="58"/>
        <v>0</v>
      </c>
      <c r="N463" s="11">
        <f t="shared" si="59"/>
        <v>3.9583333333333304E-2</v>
      </c>
      <c r="O463" s="11">
        <f t="shared" si="54"/>
        <v>0</v>
      </c>
      <c r="P463" s="11">
        <f t="shared" si="60"/>
        <v>0</v>
      </c>
      <c r="Q463" s="11"/>
      <c r="R463" s="11"/>
      <c r="S463" s="11"/>
      <c r="T463" s="11"/>
      <c r="V463" s="11"/>
      <c r="X463" s="11">
        <f t="shared" ref="X463:X527" si="63">SUM(M463:S463)</f>
        <v>3.9583333333333304E-2</v>
      </c>
      <c r="Y463" t="s">
        <v>513</v>
      </c>
    </row>
    <row r="464" spans="1:25" outlineLevel="1" x14ac:dyDescent="0.15">
      <c r="A464" s="3">
        <v>38535</v>
      </c>
      <c r="B464" s="3" t="str">
        <f>VLOOKUP(F464, Aircraft!A$2:C$99, 2, FALSE)</f>
        <v>DHC-1</v>
      </c>
      <c r="C464" t="str">
        <f>VLOOKUP(F464, Aircraft!A$2:C$99, 3, FALSE)</f>
        <v>S</v>
      </c>
      <c r="D464" t="str">
        <f t="shared" si="57"/>
        <v>S</v>
      </c>
      <c r="E464" t="str">
        <f t="shared" si="62"/>
        <v>DHC-1</v>
      </c>
      <c r="F464" t="s">
        <v>38</v>
      </c>
      <c r="G464" t="s">
        <v>41</v>
      </c>
      <c r="H464" s="2" t="str">
        <f t="shared" si="61"/>
        <v>PUT</v>
      </c>
      <c r="I464" t="s">
        <v>549</v>
      </c>
      <c r="J464" t="s">
        <v>250</v>
      </c>
      <c r="K464" s="4">
        <v>0.54166666666666663</v>
      </c>
      <c r="L464" s="4">
        <v>0.5541666666666667</v>
      </c>
      <c r="M464" s="11">
        <f t="shared" si="58"/>
        <v>0</v>
      </c>
      <c r="N464" s="11">
        <f t="shared" si="59"/>
        <v>1.2500000000000067E-2</v>
      </c>
      <c r="O464" s="11">
        <f t="shared" si="54"/>
        <v>0</v>
      </c>
      <c r="P464" s="11">
        <f t="shared" si="60"/>
        <v>0</v>
      </c>
      <c r="Q464" s="11"/>
      <c r="R464" s="11"/>
      <c r="S464" s="11"/>
      <c r="T464" s="11"/>
      <c r="V464" s="11"/>
      <c r="X464" s="11">
        <f t="shared" si="63"/>
        <v>1.2500000000000067E-2</v>
      </c>
    </row>
    <row r="465" spans="1:25" outlineLevel="1" x14ac:dyDescent="0.15">
      <c r="A465" s="3">
        <v>38545</v>
      </c>
      <c r="B465" s="3" t="str">
        <f>VLOOKUP(F465, Aircraft!A$2:C$99, 2, FALSE)</f>
        <v>PA34</v>
      </c>
      <c r="C465" t="str">
        <f>VLOOKUP(F465, Aircraft!A$2:C$99, 3, FALSE)</f>
        <v>T</v>
      </c>
      <c r="D465" t="str">
        <f t="shared" si="57"/>
        <v>T</v>
      </c>
      <c r="E465" t="str">
        <f t="shared" si="62"/>
        <v>PA34</v>
      </c>
      <c r="F465" t="s">
        <v>386</v>
      </c>
      <c r="G465" t="s">
        <v>667</v>
      </c>
      <c r="H465" s="2" t="str">
        <f t="shared" si="61"/>
        <v>PUT</v>
      </c>
      <c r="I465" t="s">
        <v>145</v>
      </c>
      <c r="J465" t="s">
        <v>145</v>
      </c>
      <c r="K465" s="4">
        <v>0.3263888888888889</v>
      </c>
      <c r="L465" s="4">
        <v>0.40277777777777773</v>
      </c>
      <c r="M465" s="11">
        <f t="shared" si="58"/>
        <v>0</v>
      </c>
      <c r="N465" s="11">
        <f t="shared" si="59"/>
        <v>0</v>
      </c>
      <c r="O465" s="11">
        <f t="shared" si="54"/>
        <v>0</v>
      </c>
      <c r="P465" s="11">
        <f t="shared" si="60"/>
        <v>7.638888888888884E-2</v>
      </c>
      <c r="Q465" s="11"/>
      <c r="R465" s="11"/>
      <c r="S465" s="11"/>
      <c r="T465" s="11"/>
      <c r="U465" s="27">
        <v>1.5</v>
      </c>
      <c r="V465" s="11"/>
      <c r="X465" s="11">
        <f t="shared" si="63"/>
        <v>7.638888888888884E-2</v>
      </c>
      <c r="Y465" t="s">
        <v>668</v>
      </c>
    </row>
    <row r="466" spans="1:25" outlineLevel="1" x14ac:dyDescent="0.15">
      <c r="A466" s="3">
        <v>38545</v>
      </c>
      <c r="B466" s="3" t="str">
        <f>VLOOKUP(F466, Aircraft!A$2:C$99, 2, FALSE)</f>
        <v>PA34</v>
      </c>
      <c r="C466" t="str">
        <f>VLOOKUP(F466, Aircraft!A$2:C$99, 3, FALSE)</f>
        <v>T</v>
      </c>
      <c r="D466" t="str">
        <f t="shared" si="57"/>
        <v>T</v>
      </c>
      <c r="E466" t="str">
        <f t="shared" si="62"/>
        <v>PA34</v>
      </c>
      <c r="F466" t="s">
        <v>386</v>
      </c>
      <c r="G466" t="s">
        <v>667</v>
      </c>
      <c r="H466" s="2" t="str">
        <f t="shared" si="61"/>
        <v>PUT</v>
      </c>
      <c r="I466" t="s">
        <v>145</v>
      </c>
      <c r="J466" t="s">
        <v>145</v>
      </c>
      <c r="K466" s="4">
        <v>0.46180555555555558</v>
      </c>
      <c r="L466" s="4">
        <v>0.52777777777777779</v>
      </c>
      <c r="M466" s="11">
        <f t="shared" si="58"/>
        <v>0</v>
      </c>
      <c r="N466" s="11">
        <f t="shared" si="59"/>
        <v>0</v>
      </c>
      <c r="O466" s="11">
        <f t="shared" si="54"/>
        <v>0</v>
      </c>
      <c r="P466" s="11">
        <f t="shared" si="60"/>
        <v>6.597222222222221E-2</v>
      </c>
      <c r="Q466" s="11"/>
      <c r="R466" s="11"/>
      <c r="S466" s="11"/>
      <c r="T466" s="11"/>
      <c r="U466" s="27">
        <v>1.1000000000000001</v>
      </c>
      <c r="V466" s="11"/>
      <c r="X466" s="11">
        <f t="shared" si="63"/>
        <v>6.597222222222221E-2</v>
      </c>
      <c r="Y466" t="s">
        <v>669</v>
      </c>
    </row>
    <row r="467" spans="1:25" outlineLevel="1" x14ac:dyDescent="0.15">
      <c r="A467" s="3">
        <v>38548</v>
      </c>
      <c r="B467" s="3" t="str">
        <f>VLOOKUP(F467, Aircraft!A$2:C$99, 2, FALSE)</f>
        <v>DHC-1</v>
      </c>
      <c r="C467" t="str">
        <f>VLOOKUP(F467, Aircraft!A$2:C$99, 3, FALSE)</f>
        <v>S</v>
      </c>
      <c r="D467" t="str">
        <f t="shared" si="57"/>
        <v>S</v>
      </c>
      <c r="E467" t="str">
        <f t="shared" si="62"/>
        <v>DHC-1</v>
      </c>
      <c r="F467" t="s">
        <v>38</v>
      </c>
      <c r="G467" t="s">
        <v>41</v>
      </c>
      <c r="H467" s="2" t="str">
        <f t="shared" si="61"/>
        <v>PUT</v>
      </c>
      <c r="I467" t="s">
        <v>250</v>
      </c>
      <c r="J467" t="s">
        <v>549</v>
      </c>
      <c r="K467" s="4">
        <v>0.55208333333333337</v>
      </c>
      <c r="L467" s="4">
        <v>0.59722222222222221</v>
      </c>
      <c r="M467" s="11">
        <f t="shared" si="58"/>
        <v>0</v>
      </c>
      <c r="N467" s="11">
        <f t="shared" si="59"/>
        <v>4.513888888888884E-2</v>
      </c>
      <c r="O467" s="11">
        <f t="shared" si="54"/>
        <v>0</v>
      </c>
      <c r="P467" s="11">
        <f t="shared" si="60"/>
        <v>0</v>
      </c>
      <c r="Q467" s="11"/>
      <c r="R467" s="11"/>
      <c r="S467" s="11"/>
      <c r="T467" s="11"/>
      <c r="V467" s="11"/>
      <c r="X467" s="11">
        <f t="shared" si="63"/>
        <v>4.513888888888884E-2</v>
      </c>
      <c r="Y467" t="s">
        <v>43</v>
      </c>
    </row>
    <row r="468" spans="1:25" outlineLevel="1" x14ac:dyDescent="0.15">
      <c r="A468" s="3">
        <v>38548</v>
      </c>
      <c r="B468" s="3" t="str">
        <f>VLOOKUP(F468, Aircraft!A$2:C$99, 2, FALSE)</f>
        <v>DHC-1</v>
      </c>
      <c r="C468" t="str">
        <f>VLOOKUP(F468, Aircraft!A$2:C$99, 3, FALSE)</f>
        <v>S</v>
      </c>
      <c r="D468" t="str">
        <f t="shared" ref="D468:D535" si="64">IF(ISNA(C468), "", C468)</f>
        <v>S</v>
      </c>
      <c r="E468" t="str">
        <f t="shared" si="62"/>
        <v>DHC-1</v>
      </c>
      <c r="F468" t="s">
        <v>38</v>
      </c>
      <c r="G468" t="s">
        <v>191</v>
      </c>
      <c r="H468" s="2" t="str">
        <f t="shared" si="61"/>
        <v>P1</v>
      </c>
      <c r="I468" t="s">
        <v>549</v>
      </c>
      <c r="J468" t="s">
        <v>549</v>
      </c>
      <c r="K468" s="4">
        <v>0.59722222222222221</v>
      </c>
      <c r="L468" s="4">
        <v>0.60416666666666663</v>
      </c>
      <c r="M468" s="11">
        <f t="shared" ref="M468:M492" si="65">IF(AND(H468="P1", D468="S"), L468-K468, 0)</f>
        <v>6.9444444444444198E-3</v>
      </c>
      <c r="N468" s="11">
        <f t="shared" ref="N468:N491" si="66">IF(AND(H468="PUT", D468="S"), L468-K468, 0)</f>
        <v>0</v>
      </c>
      <c r="O468" s="11">
        <f t="shared" ref="O468:O491" si="67">IF(AND(H468="P1", D468="T"), L468-K468, 0)</f>
        <v>0</v>
      </c>
      <c r="P468" s="11">
        <f t="shared" ref="P468:P491" si="68">IF(AND(H468="PUT", D468="T"), L468-K468, 0)</f>
        <v>0</v>
      </c>
      <c r="Q468" s="11"/>
      <c r="R468" s="11"/>
      <c r="S468" s="11"/>
      <c r="T468" s="11"/>
      <c r="V468" s="11"/>
      <c r="X468" s="11">
        <f t="shared" si="63"/>
        <v>6.9444444444444198E-3</v>
      </c>
      <c r="Y468" t="s">
        <v>670</v>
      </c>
    </row>
    <row r="469" spans="1:25" outlineLevel="1" x14ac:dyDescent="0.15">
      <c r="A469" s="3">
        <v>38548</v>
      </c>
      <c r="B469" s="3" t="str">
        <f>VLOOKUP(F469, Aircraft!A$2:C$99, 2, FALSE)</f>
        <v>DHC-1</v>
      </c>
      <c r="C469" t="str">
        <f>VLOOKUP(F469, Aircraft!A$2:C$99, 3, FALSE)</f>
        <v>S</v>
      </c>
      <c r="D469" t="str">
        <f t="shared" si="64"/>
        <v>S</v>
      </c>
      <c r="E469" t="str">
        <f t="shared" si="62"/>
        <v>DHC-1</v>
      </c>
      <c r="F469" t="s">
        <v>38</v>
      </c>
      <c r="G469" t="s">
        <v>41</v>
      </c>
      <c r="H469" s="2" t="str">
        <f t="shared" si="61"/>
        <v>PUT</v>
      </c>
      <c r="I469" t="s">
        <v>549</v>
      </c>
      <c r="J469" t="s">
        <v>250</v>
      </c>
      <c r="K469" s="4">
        <v>0.60416666666666663</v>
      </c>
      <c r="L469" s="4">
        <v>0.61388888888888882</v>
      </c>
      <c r="M469" s="11">
        <f t="shared" si="65"/>
        <v>0</v>
      </c>
      <c r="N469" s="11">
        <f t="shared" si="66"/>
        <v>9.7222222222221877E-3</v>
      </c>
      <c r="O469" s="11">
        <f t="shared" si="67"/>
        <v>0</v>
      </c>
      <c r="P469" s="11">
        <f t="shared" si="68"/>
        <v>0</v>
      </c>
      <c r="Q469" s="11"/>
      <c r="R469" s="11"/>
      <c r="S469" s="11"/>
      <c r="T469" s="11"/>
      <c r="V469" s="11"/>
      <c r="X469" s="11">
        <f t="shared" si="63"/>
        <v>9.7222222222221877E-3</v>
      </c>
    </row>
    <row r="470" spans="1:25" outlineLevel="1" x14ac:dyDescent="0.15">
      <c r="A470" s="3">
        <v>38584</v>
      </c>
      <c r="B470" s="3" t="str">
        <f>VLOOKUP(F470, Aircraft!A$2:C$99, 2, FALSE)</f>
        <v>BE76</v>
      </c>
      <c r="C470" t="str">
        <f>VLOOKUP(F470, Aircraft!A$2:C$99, 3, FALSE)</f>
        <v>T</v>
      </c>
      <c r="D470" t="str">
        <f t="shared" si="64"/>
        <v>T</v>
      </c>
      <c r="E470" t="str">
        <f t="shared" si="62"/>
        <v>BE76</v>
      </c>
      <c r="F470" t="s">
        <v>847</v>
      </c>
      <c r="G470" t="s">
        <v>191</v>
      </c>
      <c r="H470" s="2" t="str">
        <f t="shared" ref="H470:H550" si="69">IF(UPPER(G470)&lt;&gt;"SELF",IF(G470&lt;&gt;"", "PUT", ""),"P1")</f>
        <v>P1</v>
      </c>
      <c r="I470" t="s">
        <v>250</v>
      </c>
      <c r="J470" t="s">
        <v>76</v>
      </c>
      <c r="K470" s="4">
        <v>0.39583333333333331</v>
      </c>
      <c r="L470" s="4">
        <v>0.42569444444444443</v>
      </c>
      <c r="M470" s="11">
        <f t="shared" si="65"/>
        <v>0</v>
      </c>
      <c r="N470" s="11">
        <f t="shared" si="66"/>
        <v>0</v>
      </c>
      <c r="O470" s="11">
        <f t="shared" si="67"/>
        <v>2.9861111111111116E-2</v>
      </c>
      <c r="P470" s="11">
        <f t="shared" si="68"/>
        <v>0</v>
      </c>
      <c r="Q470" s="11"/>
      <c r="R470" s="11"/>
      <c r="S470" s="11"/>
      <c r="T470" s="11"/>
      <c r="V470" s="11"/>
      <c r="X470" s="11">
        <f t="shared" si="63"/>
        <v>2.9861111111111116E-2</v>
      </c>
    </row>
    <row r="471" spans="1:25" outlineLevel="1" x14ac:dyDescent="0.15">
      <c r="A471" s="3">
        <v>38584</v>
      </c>
      <c r="B471" s="3" t="str">
        <f>VLOOKUP(F471, Aircraft!A$2:C$99, 2, FALSE)</f>
        <v>BE76</v>
      </c>
      <c r="C471" t="str">
        <f>VLOOKUP(F471, Aircraft!A$2:C$99, 3, FALSE)</f>
        <v>T</v>
      </c>
      <c r="D471" t="str">
        <f t="shared" si="64"/>
        <v>T</v>
      </c>
      <c r="E471" t="str">
        <f t="shared" si="62"/>
        <v>BE76</v>
      </c>
      <c r="F471" t="s">
        <v>847</v>
      </c>
      <c r="G471" t="s">
        <v>191</v>
      </c>
      <c r="H471" s="2" t="str">
        <f t="shared" si="69"/>
        <v>P1</v>
      </c>
      <c r="I471" t="s">
        <v>148</v>
      </c>
      <c r="J471" t="s">
        <v>250</v>
      </c>
      <c r="K471" s="4">
        <v>0.44305555555555554</v>
      </c>
      <c r="L471" s="4">
        <v>0.4694444444444445</v>
      </c>
      <c r="M471" s="11">
        <f t="shared" si="65"/>
        <v>0</v>
      </c>
      <c r="N471" s="11">
        <f t="shared" si="66"/>
        <v>0</v>
      </c>
      <c r="O471" s="11">
        <f t="shared" si="67"/>
        <v>2.6388888888888962E-2</v>
      </c>
      <c r="P471" s="11">
        <f t="shared" si="68"/>
        <v>0</v>
      </c>
      <c r="Q471" s="11"/>
      <c r="R471" s="11"/>
      <c r="S471" s="11"/>
      <c r="T471" s="11"/>
      <c r="V471" s="11"/>
      <c r="X471" s="11">
        <f t="shared" si="63"/>
        <v>2.6388888888888962E-2</v>
      </c>
    </row>
    <row r="472" spans="1:25" outlineLevel="1" x14ac:dyDescent="0.15">
      <c r="A472" s="3">
        <v>38584</v>
      </c>
      <c r="B472" s="3" t="str">
        <f>VLOOKUP(F472, Aircraft!A$2:C$99, 2, FALSE)</f>
        <v>BE76</v>
      </c>
      <c r="C472" t="str">
        <f>VLOOKUP(F472, Aircraft!A$2:C$99, 3, FALSE)</f>
        <v>T</v>
      </c>
      <c r="D472" t="str">
        <f t="shared" si="64"/>
        <v>T</v>
      </c>
      <c r="E472" t="str">
        <f t="shared" si="62"/>
        <v>BE76</v>
      </c>
      <c r="F472" t="s">
        <v>847</v>
      </c>
      <c r="G472" t="s">
        <v>191</v>
      </c>
      <c r="H472" s="2" t="str">
        <f t="shared" si="69"/>
        <v>P1</v>
      </c>
      <c r="I472" t="s">
        <v>355</v>
      </c>
      <c r="J472" t="s">
        <v>671</v>
      </c>
      <c r="K472" s="4">
        <v>0.62430555555555556</v>
      </c>
      <c r="L472" s="4">
        <v>0.66736111111111107</v>
      </c>
      <c r="M472" s="11">
        <f t="shared" si="65"/>
        <v>0</v>
      </c>
      <c r="N472" s="11">
        <f t="shared" si="66"/>
        <v>0</v>
      </c>
      <c r="O472" s="11">
        <f t="shared" si="67"/>
        <v>4.3055555555555514E-2</v>
      </c>
      <c r="P472" s="11">
        <f t="shared" si="68"/>
        <v>0</v>
      </c>
      <c r="Q472" s="11"/>
      <c r="R472" s="11"/>
      <c r="S472" s="11"/>
      <c r="T472" s="11"/>
      <c r="V472" s="11"/>
      <c r="X472" s="11">
        <f t="shared" si="63"/>
        <v>4.3055555555555514E-2</v>
      </c>
      <c r="Y472" t="s">
        <v>672</v>
      </c>
    </row>
    <row r="473" spans="1:25" outlineLevel="1" x14ac:dyDescent="0.15">
      <c r="A473" s="3">
        <v>38585</v>
      </c>
      <c r="B473" s="3" t="str">
        <f>VLOOKUP(F473, Aircraft!A$2:C$99, 2, FALSE)</f>
        <v>BE76</v>
      </c>
      <c r="C473" t="str">
        <f>VLOOKUP(F473, Aircraft!A$2:C$99, 3, FALSE)</f>
        <v>T</v>
      </c>
      <c r="D473" t="str">
        <f t="shared" si="64"/>
        <v>T</v>
      </c>
      <c r="E473" t="str">
        <f t="shared" si="62"/>
        <v>BE76</v>
      </c>
      <c r="F473" t="s">
        <v>847</v>
      </c>
      <c r="G473" t="s">
        <v>191</v>
      </c>
      <c r="H473" s="2" t="str">
        <f t="shared" si="69"/>
        <v>P1</v>
      </c>
      <c r="I473" t="s">
        <v>671</v>
      </c>
      <c r="J473" t="s">
        <v>355</v>
      </c>
      <c r="K473" s="4">
        <v>0.6</v>
      </c>
      <c r="L473" s="4">
        <v>0.64861111111111114</v>
      </c>
      <c r="M473" s="11">
        <f t="shared" si="65"/>
        <v>0</v>
      </c>
      <c r="N473" s="11">
        <f t="shared" si="66"/>
        <v>0</v>
      </c>
      <c r="O473" s="11">
        <f t="shared" si="67"/>
        <v>4.861111111111116E-2</v>
      </c>
      <c r="P473" s="11">
        <f t="shared" si="68"/>
        <v>0</v>
      </c>
      <c r="Q473" s="11"/>
      <c r="R473" s="11"/>
      <c r="S473" s="11"/>
      <c r="T473" s="11"/>
      <c r="V473" s="11"/>
      <c r="X473" s="11">
        <f t="shared" si="63"/>
        <v>4.861111111111116E-2</v>
      </c>
    </row>
    <row r="474" spans="1:25" outlineLevel="1" x14ac:dyDescent="0.15">
      <c r="A474" s="3">
        <v>38585</v>
      </c>
      <c r="B474" s="3" t="str">
        <f>VLOOKUP(F474, Aircraft!A$2:C$99, 2, FALSE)</f>
        <v>BE76</v>
      </c>
      <c r="C474" t="str">
        <f>VLOOKUP(F474, Aircraft!A$2:C$99, 3, FALSE)</f>
        <v>T</v>
      </c>
      <c r="D474" t="str">
        <f t="shared" si="64"/>
        <v>T</v>
      </c>
      <c r="E474" t="str">
        <f t="shared" si="62"/>
        <v>BE76</v>
      </c>
      <c r="F474" t="s">
        <v>847</v>
      </c>
      <c r="G474" t="s">
        <v>191</v>
      </c>
      <c r="H474" s="2" t="str">
        <f t="shared" si="69"/>
        <v>P1</v>
      </c>
      <c r="I474" t="s">
        <v>355</v>
      </c>
      <c r="J474" t="s">
        <v>250</v>
      </c>
      <c r="K474" s="4">
        <v>0.66111111111111109</v>
      </c>
      <c r="L474" s="4">
        <v>0.69166666666666676</v>
      </c>
      <c r="M474" s="11">
        <f t="shared" si="65"/>
        <v>0</v>
      </c>
      <c r="N474" s="11">
        <f t="shared" si="66"/>
        <v>0</v>
      </c>
      <c r="O474" s="11">
        <f t="shared" si="67"/>
        <v>3.0555555555555669E-2</v>
      </c>
      <c r="P474" s="11">
        <f t="shared" si="68"/>
        <v>0</v>
      </c>
      <c r="Q474" s="11"/>
      <c r="R474" s="11"/>
      <c r="S474" s="11"/>
      <c r="T474" s="11"/>
      <c r="V474" s="11"/>
      <c r="X474" s="11">
        <f t="shared" si="63"/>
        <v>3.0555555555555669E-2</v>
      </c>
    </row>
    <row r="475" spans="1:25" outlineLevel="1" x14ac:dyDescent="0.15">
      <c r="A475" s="3">
        <v>38588</v>
      </c>
      <c r="B475" s="3" t="str">
        <f>VLOOKUP(F475, Aircraft!A$2:C$99, 2, FALSE)</f>
        <v>PA28R</v>
      </c>
      <c r="C475" t="str">
        <f>VLOOKUP(F475, Aircraft!A$2:C$99, 3, FALSE)</f>
        <v>S</v>
      </c>
      <c r="D475" t="str">
        <f t="shared" si="64"/>
        <v>S</v>
      </c>
      <c r="E475" t="str">
        <f t="shared" si="62"/>
        <v>PA28R</v>
      </c>
      <c r="F475" t="s">
        <v>516</v>
      </c>
      <c r="G475" t="s">
        <v>191</v>
      </c>
      <c r="H475" s="2" t="str">
        <f t="shared" si="69"/>
        <v>P1</v>
      </c>
      <c r="I475" t="s">
        <v>356</v>
      </c>
      <c r="J475" t="s">
        <v>356</v>
      </c>
      <c r="K475" s="4">
        <v>0.63194444444444442</v>
      </c>
      <c r="L475" s="4">
        <v>0.66666666666666663</v>
      </c>
      <c r="M475" s="11">
        <f t="shared" si="65"/>
        <v>3.472222222222221E-2</v>
      </c>
      <c r="N475" s="11">
        <f t="shared" si="66"/>
        <v>0</v>
      </c>
      <c r="O475" s="11">
        <f t="shared" si="67"/>
        <v>0</v>
      </c>
      <c r="P475" s="11">
        <f t="shared" si="68"/>
        <v>0</v>
      </c>
      <c r="Q475" s="11"/>
      <c r="R475" s="11"/>
      <c r="S475" s="11"/>
      <c r="T475" s="11"/>
      <c r="V475" s="11"/>
      <c r="X475" s="11">
        <f t="shared" si="63"/>
        <v>3.472222222222221E-2</v>
      </c>
      <c r="Y475" t="s">
        <v>227</v>
      </c>
    </row>
    <row r="476" spans="1:25" outlineLevel="1" x14ac:dyDescent="0.15">
      <c r="A476" s="3">
        <v>38592</v>
      </c>
      <c r="B476" s="3" t="str">
        <f>VLOOKUP(F476, Aircraft!A$2:C$99, 2, FALSE)</f>
        <v>PA28</v>
      </c>
      <c r="C476" t="str">
        <f>VLOOKUP(F476, Aircraft!A$2:C$99, 3, FALSE)</f>
        <v>S</v>
      </c>
      <c r="D476" t="str">
        <f t="shared" si="64"/>
        <v>S</v>
      </c>
      <c r="E476" t="str">
        <f t="shared" si="62"/>
        <v>PA28</v>
      </c>
      <c r="F476" t="s">
        <v>673</v>
      </c>
      <c r="G476" t="s">
        <v>191</v>
      </c>
      <c r="H476" s="2" t="str">
        <f t="shared" si="69"/>
        <v>P1</v>
      </c>
      <c r="I476" t="s">
        <v>162</v>
      </c>
      <c r="J476" t="s">
        <v>250</v>
      </c>
      <c r="K476" s="4">
        <v>0.66666666666666663</v>
      </c>
      <c r="L476" s="4">
        <v>0.73958333333333337</v>
      </c>
      <c r="M476" s="11">
        <f t="shared" si="65"/>
        <v>7.2916666666666741E-2</v>
      </c>
      <c r="N476" s="11">
        <f t="shared" si="66"/>
        <v>0</v>
      </c>
      <c r="O476" s="11">
        <f t="shared" si="67"/>
        <v>0</v>
      </c>
      <c r="P476" s="11">
        <f t="shared" si="68"/>
        <v>0</v>
      </c>
      <c r="Q476" s="11"/>
      <c r="R476" s="11"/>
      <c r="S476" s="11"/>
      <c r="T476" s="11"/>
      <c r="V476" s="11"/>
      <c r="X476" s="11">
        <f t="shared" si="63"/>
        <v>7.2916666666666741E-2</v>
      </c>
    </row>
    <row r="477" spans="1:25" outlineLevel="1" x14ac:dyDescent="0.15">
      <c r="A477" s="3">
        <v>38612</v>
      </c>
      <c r="B477" s="3" t="str">
        <f>VLOOKUP(F477, Aircraft!A$2:C$99, 2, FALSE)</f>
        <v>BE76</v>
      </c>
      <c r="C477" t="str">
        <f>VLOOKUP(F477, Aircraft!A$2:C$99, 3, FALSE)</f>
        <v>T</v>
      </c>
      <c r="D477" t="str">
        <f t="shared" si="64"/>
        <v>T</v>
      </c>
      <c r="E477" t="str">
        <f t="shared" si="62"/>
        <v>BE76</v>
      </c>
      <c r="F477" t="s">
        <v>847</v>
      </c>
      <c r="G477" t="s">
        <v>191</v>
      </c>
      <c r="H477" s="2" t="str">
        <f t="shared" si="69"/>
        <v>P1</v>
      </c>
      <c r="I477" t="s">
        <v>250</v>
      </c>
      <c r="J477" t="s">
        <v>250</v>
      </c>
      <c r="K477" s="4">
        <v>0.63680555555555551</v>
      </c>
      <c r="L477" s="4">
        <v>0.71666666666666667</v>
      </c>
      <c r="M477" s="11">
        <f t="shared" si="65"/>
        <v>0</v>
      </c>
      <c r="N477" s="11">
        <f t="shared" si="66"/>
        <v>0</v>
      </c>
      <c r="O477" s="11">
        <f t="shared" si="67"/>
        <v>7.986111111111116E-2</v>
      </c>
      <c r="P477" s="11">
        <f t="shared" si="68"/>
        <v>0</v>
      </c>
      <c r="Q477" s="11"/>
      <c r="R477" s="11"/>
      <c r="S477" s="11"/>
      <c r="T477" s="11"/>
      <c r="V477" s="11"/>
      <c r="X477" s="11">
        <f t="shared" si="63"/>
        <v>7.986111111111116E-2</v>
      </c>
      <c r="Y477" t="s">
        <v>866</v>
      </c>
    </row>
    <row r="478" spans="1:25" outlineLevel="1" x14ac:dyDescent="0.15">
      <c r="A478" s="3">
        <v>38613</v>
      </c>
      <c r="B478" s="3" t="str">
        <f>VLOOKUP(F478, Aircraft!A$2:C$99, 2, FALSE)</f>
        <v>BE76</v>
      </c>
      <c r="C478" t="str">
        <f>VLOOKUP(F478, Aircraft!A$2:C$99, 3, FALSE)</f>
        <v>T</v>
      </c>
      <c r="D478" t="str">
        <f t="shared" si="64"/>
        <v>T</v>
      </c>
      <c r="E478" t="str">
        <f t="shared" si="62"/>
        <v>BE76</v>
      </c>
      <c r="F478" t="s">
        <v>847</v>
      </c>
      <c r="G478" t="s">
        <v>191</v>
      </c>
      <c r="H478" s="2" t="str">
        <f t="shared" si="69"/>
        <v>P1</v>
      </c>
      <c r="I478" t="s">
        <v>250</v>
      </c>
      <c r="J478" t="s">
        <v>867</v>
      </c>
      <c r="K478" s="4">
        <v>0.45833333333333331</v>
      </c>
      <c r="L478" s="4">
        <v>0.5</v>
      </c>
      <c r="M478" s="11">
        <f t="shared" si="65"/>
        <v>0</v>
      </c>
      <c r="N478" s="11">
        <f t="shared" si="66"/>
        <v>0</v>
      </c>
      <c r="O478" s="11">
        <f t="shared" si="67"/>
        <v>4.1666666666666685E-2</v>
      </c>
      <c r="P478" s="11">
        <f t="shared" si="68"/>
        <v>0</v>
      </c>
      <c r="Q478" s="11"/>
      <c r="R478" s="11"/>
      <c r="S478" s="11"/>
      <c r="T478" s="11"/>
      <c r="V478" s="11"/>
      <c r="X478" s="11">
        <f t="shared" si="63"/>
        <v>4.1666666666666685E-2</v>
      </c>
    </row>
    <row r="479" spans="1:25" outlineLevel="1" x14ac:dyDescent="0.15">
      <c r="A479" s="3">
        <v>38613</v>
      </c>
      <c r="B479" s="3" t="str">
        <f>VLOOKUP(F479, Aircraft!A$2:C$99, 2, FALSE)</f>
        <v>BE76</v>
      </c>
      <c r="C479" t="str">
        <f>VLOOKUP(F479, Aircraft!A$2:C$99, 3, FALSE)</f>
        <v>T</v>
      </c>
      <c r="D479" t="str">
        <f t="shared" si="64"/>
        <v>T</v>
      </c>
      <c r="E479" t="str">
        <f t="shared" si="62"/>
        <v>BE76</v>
      </c>
      <c r="F479" t="s">
        <v>847</v>
      </c>
      <c r="G479" t="s">
        <v>191</v>
      </c>
      <c r="H479" s="2" t="str">
        <f t="shared" si="69"/>
        <v>P1</v>
      </c>
      <c r="I479" t="s">
        <v>867</v>
      </c>
      <c r="J479" t="s">
        <v>250</v>
      </c>
      <c r="K479" s="4">
        <v>0.62638888888888888</v>
      </c>
      <c r="L479" s="4">
        <v>0.66666666666666663</v>
      </c>
      <c r="M479" s="11">
        <f t="shared" si="65"/>
        <v>0</v>
      </c>
      <c r="N479" s="11">
        <f t="shared" si="66"/>
        <v>0</v>
      </c>
      <c r="O479" s="11">
        <f t="shared" si="67"/>
        <v>4.0277777777777746E-2</v>
      </c>
      <c r="P479" s="11">
        <f t="shared" si="68"/>
        <v>0</v>
      </c>
      <c r="Q479" s="11"/>
      <c r="R479" s="11"/>
      <c r="S479" s="11"/>
      <c r="T479" s="11"/>
      <c r="V479" s="11"/>
      <c r="X479" s="11">
        <f t="shared" si="63"/>
        <v>4.0277777777777746E-2</v>
      </c>
    </row>
    <row r="480" spans="1:25" outlineLevel="1" x14ac:dyDescent="0.15">
      <c r="A480" s="3">
        <v>38615</v>
      </c>
      <c r="B480" s="3" t="str">
        <f>VLOOKUP(F480, Aircraft!A$2:C$99, 2, FALSE)</f>
        <v>JP5A</v>
      </c>
      <c r="C480" t="str">
        <f>VLOOKUP(F480, Aircraft!A$2:C$99, 3, FALSE)</f>
        <v>S</v>
      </c>
      <c r="D480" t="str">
        <f t="shared" si="64"/>
        <v>S</v>
      </c>
      <c r="E480" t="str">
        <f t="shared" si="62"/>
        <v>JP5A</v>
      </c>
      <c r="F480" t="s">
        <v>868</v>
      </c>
      <c r="G480" t="s">
        <v>870</v>
      </c>
      <c r="H480" s="2" t="str">
        <f t="shared" si="69"/>
        <v>PUT</v>
      </c>
      <c r="I480" t="s">
        <v>153</v>
      </c>
      <c r="J480" t="s">
        <v>153</v>
      </c>
      <c r="K480" s="4">
        <v>0.5</v>
      </c>
      <c r="L480" s="4">
        <v>0.53819444444444442</v>
      </c>
      <c r="M480" s="11">
        <f t="shared" si="65"/>
        <v>0</v>
      </c>
      <c r="N480" s="11">
        <f t="shared" si="66"/>
        <v>3.819444444444442E-2</v>
      </c>
      <c r="O480" s="11">
        <f t="shared" si="67"/>
        <v>0</v>
      </c>
      <c r="P480" s="11">
        <f t="shared" si="68"/>
        <v>0</v>
      </c>
      <c r="Q480" s="11"/>
      <c r="R480" s="11"/>
      <c r="S480" s="11"/>
      <c r="T480" s="11"/>
      <c r="V480" s="11"/>
      <c r="X480" s="11">
        <f t="shared" si="63"/>
        <v>3.819444444444442E-2</v>
      </c>
      <c r="Y480" t="s">
        <v>522</v>
      </c>
    </row>
    <row r="481" spans="1:25" outlineLevel="1" x14ac:dyDescent="0.15">
      <c r="A481" s="3">
        <v>38626</v>
      </c>
      <c r="B481" s="3" t="str">
        <f>VLOOKUP(F481, Aircraft!A$2:C$99, 2, FALSE)</f>
        <v>DHC-1</v>
      </c>
      <c r="C481" t="str">
        <f>VLOOKUP(F481, Aircraft!A$2:C$99, 3, FALSE)</f>
        <v>S</v>
      </c>
      <c r="D481" t="str">
        <f t="shared" si="64"/>
        <v>S</v>
      </c>
      <c r="E481" t="str">
        <f t="shared" si="62"/>
        <v>DHC-1</v>
      </c>
      <c r="F481" t="s">
        <v>38</v>
      </c>
      <c r="G481" t="s">
        <v>41</v>
      </c>
      <c r="H481" s="2" t="str">
        <f t="shared" si="69"/>
        <v>PUT</v>
      </c>
      <c r="I481" t="s">
        <v>250</v>
      </c>
      <c r="J481" t="s">
        <v>549</v>
      </c>
      <c r="K481" s="4">
        <v>0.375</v>
      </c>
      <c r="L481" s="4">
        <v>0.40277777777777773</v>
      </c>
      <c r="M481" s="11">
        <f t="shared" si="65"/>
        <v>0</v>
      </c>
      <c r="N481" s="11">
        <f t="shared" si="66"/>
        <v>2.7777777777777735E-2</v>
      </c>
      <c r="O481" s="11">
        <f t="shared" si="67"/>
        <v>0</v>
      </c>
      <c r="P481" s="11">
        <f t="shared" si="68"/>
        <v>0</v>
      </c>
      <c r="Q481" s="11"/>
      <c r="R481" s="11"/>
      <c r="S481" s="11"/>
      <c r="T481" s="11"/>
      <c r="V481" s="11"/>
      <c r="X481" s="11">
        <f t="shared" si="63"/>
        <v>2.7777777777777735E-2</v>
      </c>
      <c r="Y481" t="s">
        <v>47</v>
      </c>
    </row>
    <row r="482" spans="1:25" outlineLevel="1" x14ac:dyDescent="0.15">
      <c r="A482" s="3">
        <v>38626</v>
      </c>
      <c r="B482" s="3" t="str">
        <f>VLOOKUP(F482, Aircraft!A$2:C$99, 2, FALSE)</f>
        <v>DHC-1</v>
      </c>
      <c r="C482" t="str">
        <f>VLOOKUP(F482, Aircraft!A$2:C$99, 3, FALSE)</f>
        <v>S</v>
      </c>
      <c r="D482" t="str">
        <f t="shared" si="64"/>
        <v>S</v>
      </c>
      <c r="E482" t="str">
        <f t="shared" si="62"/>
        <v>DHC-1</v>
      </c>
      <c r="F482" t="s">
        <v>38</v>
      </c>
      <c r="G482" t="s">
        <v>191</v>
      </c>
      <c r="H482" s="2" t="str">
        <f t="shared" si="69"/>
        <v>P1</v>
      </c>
      <c r="I482" t="s">
        <v>549</v>
      </c>
      <c r="J482" t="s">
        <v>549</v>
      </c>
      <c r="K482" s="4">
        <v>0.40277777777777773</v>
      </c>
      <c r="L482" s="4">
        <v>0.41666666666666669</v>
      </c>
      <c r="M482" s="11">
        <f t="shared" si="65"/>
        <v>1.3888888888888951E-2</v>
      </c>
      <c r="N482" s="11">
        <f t="shared" si="66"/>
        <v>0</v>
      </c>
      <c r="O482" s="11">
        <f t="shared" si="67"/>
        <v>0</v>
      </c>
      <c r="P482" s="11">
        <f t="shared" si="68"/>
        <v>0</v>
      </c>
      <c r="Q482" s="11"/>
      <c r="R482" s="11"/>
      <c r="S482" s="11"/>
      <c r="T482" s="11"/>
      <c r="V482" s="11"/>
      <c r="X482" s="11">
        <f t="shared" si="63"/>
        <v>1.3888888888888951E-2</v>
      </c>
      <c r="Y482" t="s">
        <v>845</v>
      </c>
    </row>
    <row r="483" spans="1:25" outlineLevel="1" x14ac:dyDescent="0.15">
      <c r="A483" s="3">
        <v>38626</v>
      </c>
      <c r="B483" s="3" t="str">
        <f>VLOOKUP(F483, Aircraft!A$2:C$99, 2, FALSE)</f>
        <v>DHC-1</v>
      </c>
      <c r="C483" t="str">
        <f>VLOOKUP(F483, Aircraft!A$2:C$99, 3, FALSE)</f>
        <v>S</v>
      </c>
      <c r="D483" t="str">
        <f t="shared" si="64"/>
        <v>S</v>
      </c>
      <c r="E483" t="str">
        <f t="shared" si="62"/>
        <v>DHC-1</v>
      </c>
      <c r="F483" t="s">
        <v>38</v>
      </c>
      <c r="G483" t="s">
        <v>41</v>
      </c>
      <c r="H483" s="2" t="str">
        <f t="shared" si="69"/>
        <v>PUT</v>
      </c>
      <c r="I483" t="s">
        <v>549</v>
      </c>
      <c r="J483" t="s">
        <v>250</v>
      </c>
      <c r="K483" s="4">
        <v>0.41666666666666669</v>
      </c>
      <c r="L483" s="4">
        <v>0.4375</v>
      </c>
      <c r="M483" s="11">
        <f t="shared" si="65"/>
        <v>0</v>
      </c>
      <c r="N483" s="11">
        <f t="shared" si="66"/>
        <v>2.0833333333333315E-2</v>
      </c>
      <c r="O483" s="11">
        <f t="shared" si="67"/>
        <v>0</v>
      </c>
      <c r="P483" s="11">
        <f t="shared" si="68"/>
        <v>0</v>
      </c>
      <c r="Q483" s="11"/>
      <c r="R483" s="11"/>
      <c r="S483" s="11"/>
      <c r="T483" s="11"/>
      <c r="V483" s="11"/>
      <c r="X483" s="11">
        <f t="shared" si="63"/>
        <v>2.0833333333333315E-2</v>
      </c>
    </row>
    <row r="484" spans="1:25" outlineLevel="1" x14ac:dyDescent="0.15">
      <c r="A484" s="3">
        <v>38626</v>
      </c>
      <c r="B484" s="3" t="str">
        <f>VLOOKUP(F484, Aircraft!A$2:C$99, 2, FALSE)</f>
        <v>DHC-1</v>
      </c>
      <c r="C484" t="str">
        <f>VLOOKUP(F484, Aircraft!A$2:C$99, 3, FALSE)</f>
        <v>S</v>
      </c>
      <c r="D484" t="str">
        <f t="shared" si="64"/>
        <v>S</v>
      </c>
      <c r="E484" t="str">
        <f t="shared" si="62"/>
        <v>DHC-1</v>
      </c>
      <c r="F484" t="s">
        <v>38</v>
      </c>
      <c r="G484" t="s">
        <v>41</v>
      </c>
      <c r="H484" s="2" t="str">
        <f t="shared" si="69"/>
        <v>PUT</v>
      </c>
      <c r="I484" t="s">
        <v>250</v>
      </c>
      <c r="J484" t="s">
        <v>250</v>
      </c>
      <c r="K484" s="4">
        <v>0.53819444444444442</v>
      </c>
      <c r="L484" s="4">
        <v>0.58333333333333337</v>
      </c>
      <c r="M484" s="11">
        <f t="shared" si="65"/>
        <v>0</v>
      </c>
      <c r="N484" s="11">
        <f t="shared" si="66"/>
        <v>4.5138888888888951E-2</v>
      </c>
      <c r="O484" s="11">
        <f t="shared" si="67"/>
        <v>0</v>
      </c>
      <c r="P484" s="11">
        <f t="shared" si="68"/>
        <v>0</v>
      </c>
      <c r="Q484" s="11"/>
      <c r="R484" s="11"/>
      <c r="S484" s="11"/>
      <c r="T484" s="11"/>
      <c r="V484" s="11"/>
      <c r="X484" s="11">
        <f t="shared" si="63"/>
        <v>4.5138888888888951E-2</v>
      </c>
      <c r="Y484" t="s">
        <v>523</v>
      </c>
    </row>
    <row r="485" spans="1:25" outlineLevel="1" x14ac:dyDescent="0.15">
      <c r="A485" s="3">
        <v>38627</v>
      </c>
      <c r="B485" s="3" t="str">
        <f>VLOOKUP(F485, Aircraft!A$2:C$99, 2, FALSE)</f>
        <v>DHC-1</v>
      </c>
      <c r="C485" t="str">
        <f>VLOOKUP(F485, Aircraft!A$2:C$99, 3, FALSE)</f>
        <v>S</v>
      </c>
      <c r="D485" t="str">
        <f t="shared" si="64"/>
        <v>S</v>
      </c>
      <c r="E485" t="str">
        <f t="shared" si="62"/>
        <v>DHC-1</v>
      </c>
      <c r="F485" t="s">
        <v>38</v>
      </c>
      <c r="G485" t="s">
        <v>41</v>
      </c>
      <c r="H485" s="2" t="str">
        <f t="shared" si="69"/>
        <v>PUT</v>
      </c>
      <c r="I485" t="s">
        <v>250</v>
      </c>
      <c r="J485" t="s">
        <v>250</v>
      </c>
      <c r="K485" s="4">
        <v>0.61805555555555558</v>
      </c>
      <c r="L485" s="4">
        <v>0.65972222222222221</v>
      </c>
      <c r="M485" s="11">
        <f t="shared" si="65"/>
        <v>0</v>
      </c>
      <c r="N485" s="11">
        <f t="shared" si="66"/>
        <v>4.166666666666663E-2</v>
      </c>
      <c r="O485" s="11">
        <f t="shared" si="67"/>
        <v>0</v>
      </c>
      <c r="P485" s="11">
        <f t="shared" si="68"/>
        <v>0</v>
      </c>
      <c r="Q485" s="11"/>
      <c r="R485" s="11"/>
      <c r="S485" s="11"/>
      <c r="T485" s="11"/>
      <c r="V485" s="11"/>
      <c r="X485" s="11">
        <f t="shared" si="63"/>
        <v>4.166666666666663E-2</v>
      </c>
      <c r="Y485" t="s">
        <v>524</v>
      </c>
    </row>
    <row r="486" spans="1:25" outlineLevel="1" x14ac:dyDescent="0.15">
      <c r="A486" s="3">
        <v>38633</v>
      </c>
      <c r="B486" s="3" t="str">
        <f>VLOOKUP(F486, Aircraft!A$2:C$99, 2, FALSE)</f>
        <v>DHC-1</v>
      </c>
      <c r="C486" t="str">
        <f>VLOOKUP(F486, Aircraft!A$2:C$99, 3, FALSE)</f>
        <v>S</v>
      </c>
      <c r="D486" t="str">
        <f t="shared" si="64"/>
        <v>S</v>
      </c>
      <c r="E486" t="str">
        <f t="shared" si="62"/>
        <v>DHC-1</v>
      </c>
      <c r="F486" t="s">
        <v>38</v>
      </c>
      <c r="G486" t="s">
        <v>41</v>
      </c>
      <c r="H486" s="2" t="str">
        <f t="shared" si="69"/>
        <v>PUT</v>
      </c>
      <c r="I486" t="s">
        <v>250</v>
      </c>
      <c r="J486" t="s">
        <v>250</v>
      </c>
      <c r="K486" s="4">
        <v>0.48958333333333331</v>
      </c>
      <c r="L486" s="4">
        <v>0.53472222222222221</v>
      </c>
      <c r="M486" s="11">
        <f t="shared" si="65"/>
        <v>0</v>
      </c>
      <c r="N486" s="11">
        <f t="shared" si="66"/>
        <v>4.5138888888888895E-2</v>
      </c>
      <c r="O486" s="11">
        <f t="shared" si="67"/>
        <v>0</v>
      </c>
      <c r="P486" s="11">
        <f t="shared" si="68"/>
        <v>0</v>
      </c>
      <c r="Q486" s="11"/>
      <c r="R486" s="11"/>
      <c r="S486" s="11"/>
      <c r="T486" s="11"/>
      <c r="V486" s="11"/>
      <c r="X486" s="11">
        <f t="shared" si="63"/>
        <v>4.5138888888888895E-2</v>
      </c>
      <c r="Y486" t="s">
        <v>525</v>
      </c>
    </row>
    <row r="487" spans="1:25" outlineLevel="1" x14ac:dyDescent="0.15">
      <c r="A487" s="3">
        <v>38633</v>
      </c>
      <c r="B487" s="3" t="str">
        <f>VLOOKUP(F487, Aircraft!A$2:C$99, 2, FALSE)</f>
        <v>DHC-1</v>
      </c>
      <c r="C487" t="str">
        <f>VLOOKUP(F487, Aircraft!A$2:C$99, 3, FALSE)</f>
        <v>S</v>
      </c>
      <c r="D487" t="str">
        <f t="shared" si="64"/>
        <v>S</v>
      </c>
      <c r="E487" t="str">
        <f t="shared" si="62"/>
        <v>DHC-1</v>
      </c>
      <c r="F487" t="s">
        <v>38</v>
      </c>
      <c r="G487" t="s">
        <v>41</v>
      </c>
      <c r="H487" s="2" t="str">
        <f t="shared" si="69"/>
        <v>PUT</v>
      </c>
      <c r="I487" t="s">
        <v>250</v>
      </c>
      <c r="J487" t="s">
        <v>250</v>
      </c>
      <c r="K487" s="4">
        <v>0.60763888888888895</v>
      </c>
      <c r="L487" s="4">
        <v>0.65625</v>
      </c>
      <c r="M487" s="11">
        <f t="shared" si="65"/>
        <v>0</v>
      </c>
      <c r="N487" s="11">
        <f t="shared" si="66"/>
        <v>4.8611111111111049E-2</v>
      </c>
      <c r="O487" s="11">
        <f t="shared" si="67"/>
        <v>0</v>
      </c>
      <c r="P487" s="11">
        <f t="shared" si="68"/>
        <v>0</v>
      </c>
      <c r="Q487" s="11"/>
      <c r="R487" s="11"/>
      <c r="S487" s="11"/>
      <c r="T487" s="11"/>
      <c r="V487" s="11"/>
      <c r="X487" s="11">
        <f t="shared" si="63"/>
        <v>4.8611111111111049E-2</v>
      </c>
      <c r="Y487" t="s">
        <v>526</v>
      </c>
    </row>
    <row r="488" spans="1:25" outlineLevel="1" x14ac:dyDescent="0.15">
      <c r="A488" s="3">
        <v>38640</v>
      </c>
      <c r="B488" s="3" t="str">
        <f>VLOOKUP(F488, Aircraft!A$2:C$99, 2, FALSE)</f>
        <v>DHC-1</v>
      </c>
      <c r="C488" t="str">
        <f>VLOOKUP(F488, Aircraft!A$2:C$99, 3, FALSE)</f>
        <v>S</v>
      </c>
      <c r="D488" t="str">
        <f t="shared" si="64"/>
        <v>S</v>
      </c>
      <c r="E488" t="str">
        <f t="shared" si="62"/>
        <v>DHC-1</v>
      </c>
      <c r="F488" t="s">
        <v>38</v>
      </c>
      <c r="G488" t="s">
        <v>41</v>
      </c>
      <c r="H488" s="2" t="str">
        <f t="shared" si="69"/>
        <v>PUT</v>
      </c>
      <c r="I488" t="s">
        <v>250</v>
      </c>
      <c r="J488" t="s">
        <v>549</v>
      </c>
      <c r="K488" s="4">
        <v>0.57291666666666663</v>
      </c>
      <c r="L488" s="4">
        <v>0.60972222222222217</v>
      </c>
      <c r="M488" s="11">
        <f t="shared" si="65"/>
        <v>0</v>
      </c>
      <c r="N488" s="11">
        <f t="shared" si="66"/>
        <v>3.6805555555555536E-2</v>
      </c>
      <c r="O488" s="11">
        <f t="shared" si="67"/>
        <v>0</v>
      </c>
      <c r="P488" s="11">
        <f t="shared" si="68"/>
        <v>0</v>
      </c>
      <c r="Q488" s="11"/>
      <c r="R488" s="11"/>
      <c r="S488" s="11"/>
      <c r="T488" s="11"/>
      <c r="V488" s="11"/>
      <c r="X488" s="11">
        <f t="shared" si="63"/>
        <v>3.6805555555555536E-2</v>
      </c>
    </row>
    <row r="489" spans="1:25" outlineLevel="1" x14ac:dyDescent="0.15">
      <c r="A489" s="3">
        <v>38640</v>
      </c>
      <c r="B489" s="3" t="str">
        <f>VLOOKUP(F489, Aircraft!A$2:C$99, 2, FALSE)</f>
        <v>DHC-1</v>
      </c>
      <c r="C489" t="str">
        <f>VLOOKUP(F489, Aircraft!A$2:C$99, 3, FALSE)</f>
        <v>S</v>
      </c>
      <c r="D489" t="str">
        <f t="shared" si="64"/>
        <v>S</v>
      </c>
      <c r="E489" t="str">
        <f t="shared" si="62"/>
        <v>DHC-1</v>
      </c>
      <c r="F489" t="s">
        <v>38</v>
      </c>
      <c r="G489" t="s">
        <v>41</v>
      </c>
      <c r="H489" s="2" t="str">
        <f t="shared" si="69"/>
        <v>PUT</v>
      </c>
      <c r="I489" t="s">
        <v>549</v>
      </c>
      <c r="J489" t="s">
        <v>250</v>
      </c>
      <c r="K489" s="4">
        <v>0.60972222222222217</v>
      </c>
      <c r="L489" s="4">
        <v>0.63541666666666663</v>
      </c>
      <c r="M489" s="11">
        <f t="shared" si="65"/>
        <v>0</v>
      </c>
      <c r="N489" s="11">
        <f t="shared" si="66"/>
        <v>2.5694444444444464E-2</v>
      </c>
      <c r="O489" s="11">
        <f t="shared" si="67"/>
        <v>0</v>
      </c>
      <c r="P489" s="11">
        <f t="shared" si="68"/>
        <v>0</v>
      </c>
      <c r="Q489" s="11"/>
      <c r="R489" s="11"/>
      <c r="S489" s="11"/>
      <c r="T489" s="11"/>
      <c r="V489" s="11"/>
      <c r="X489" s="11">
        <f t="shared" si="63"/>
        <v>2.5694444444444464E-2</v>
      </c>
    </row>
    <row r="490" spans="1:25" outlineLevel="1" x14ac:dyDescent="0.15">
      <c r="A490" s="3">
        <v>38641</v>
      </c>
      <c r="B490" s="3" t="str">
        <f>VLOOKUP(F490, Aircraft!A$2:C$99, 2, FALSE)</f>
        <v>DHC-1</v>
      </c>
      <c r="C490" t="str">
        <f>VLOOKUP(F490, Aircraft!A$2:C$99, 3, FALSE)</f>
        <v>S</v>
      </c>
      <c r="D490" t="str">
        <f t="shared" si="64"/>
        <v>S</v>
      </c>
      <c r="E490" t="str">
        <f t="shared" si="62"/>
        <v>DHC-1</v>
      </c>
      <c r="F490" t="s">
        <v>38</v>
      </c>
      <c r="G490" t="s">
        <v>41</v>
      </c>
      <c r="H490" s="2" t="str">
        <f t="shared" si="69"/>
        <v>PUT</v>
      </c>
      <c r="I490" t="s">
        <v>250</v>
      </c>
      <c r="J490" t="s">
        <v>549</v>
      </c>
      <c r="K490" s="4">
        <v>0.36805555555555558</v>
      </c>
      <c r="L490" s="4">
        <v>0.39930555555555558</v>
      </c>
      <c r="M490" s="11">
        <f t="shared" si="65"/>
        <v>0</v>
      </c>
      <c r="N490" s="11">
        <f t="shared" si="66"/>
        <v>3.125E-2</v>
      </c>
      <c r="O490" s="11">
        <f t="shared" si="67"/>
        <v>0</v>
      </c>
      <c r="P490" s="11">
        <f t="shared" si="68"/>
        <v>0</v>
      </c>
      <c r="Q490" s="11"/>
      <c r="R490" s="11"/>
      <c r="S490" s="11"/>
      <c r="T490" s="11"/>
      <c r="V490" s="11"/>
      <c r="X490" s="11">
        <f t="shared" si="63"/>
        <v>3.125E-2</v>
      </c>
      <c r="Y490" t="s">
        <v>845</v>
      </c>
    </row>
    <row r="491" spans="1:25" outlineLevel="1" x14ac:dyDescent="0.15">
      <c r="A491" s="3">
        <v>38641</v>
      </c>
      <c r="B491" s="3" t="str">
        <f>VLOOKUP(F491, Aircraft!A$2:C$99, 2, FALSE)</f>
        <v>DHC-1</v>
      </c>
      <c r="C491" t="str">
        <f>VLOOKUP(F491, Aircraft!A$2:C$99, 3, FALSE)</f>
        <v>S</v>
      </c>
      <c r="D491" t="str">
        <f t="shared" si="64"/>
        <v>S</v>
      </c>
      <c r="E491" t="str">
        <f t="shared" si="62"/>
        <v>DHC-1</v>
      </c>
      <c r="F491" t="s">
        <v>38</v>
      </c>
      <c r="G491" t="s">
        <v>41</v>
      </c>
      <c r="H491" s="2" t="str">
        <f t="shared" si="69"/>
        <v>PUT</v>
      </c>
      <c r="I491" t="s">
        <v>549</v>
      </c>
      <c r="J491" t="s">
        <v>250</v>
      </c>
      <c r="K491" s="4">
        <v>0.39930555555555558</v>
      </c>
      <c r="L491" s="4">
        <v>0.4201388888888889</v>
      </c>
      <c r="M491" s="11">
        <f t="shared" si="65"/>
        <v>0</v>
      </c>
      <c r="N491" s="11">
        <f t="shared" si="66"/>
        <v>2.0833333333333315E-2</v>
      </c>
      <c r="O491" s="11">
        <f t="shared" si="67"/>
        <v>0</v>
      </c>
      <c r="P491" s="11">
        <f t="shared" si="68"/>
        <v>0</v>
      </c>
      <c r="Q491" s="11"/>
      <c r="R491" s="11"/>
      <c r="S491" s="11"/>
      <c r="T491" s="11"/>
      <c r="V491" s="11"/>
      <c r="X491" s="11">
        <f t="shared" si="63"/>
        <v>2.0833333333333315E-2</v>
      </c>
      <c r="Y491" t="s">
        <v>527</v>
      </c>
    </row>
    <row r="492" spans="1:25" outlineLevel="1" x14ac:dyDescent="0.15">
      <c r="A492" s="3">
        <v>38647</v>
      </c>
      <c r="B492" s="3" t="str">
        <f>VLOOKUP(F492, Aircraft!A$2:C$99, 2, FALSE)</f>
        <v>PA28</v>
      </c>
      <c r="C492" t="str">
        <f>VLOOKUP(F492, Aircraft!A$2:C$99, 3, FALSE)</f>
        <v>S</v>
      </c>
      <c r="D492" t="str">
        <f t="shared" si="64"/>
        <v>S</v>
      </c>
      <c r="E492" t="str">
        <f t="shared" si="62"/>
        <v>PA28</v>
      </c>
      <c r="F492" t="s">
        <v>132</v>
      </c>
      <c r="G492" t="s">
        <v>191</v>
      </c>
      <c r="H492" s="2" t="str">
        <f t="shared" si="69"/>
        <v>P1</v>
      </c>
      <c r="I492" t="s">
        <v>250</v>
      </c>
      <c r="J492" t="s">
        <v>250</v>
      </c>
      <c r="K492" s="4">
        <v>0.4201388888888889</v>
      </c>
      <c r="L492" s="4">
        <v>0.46180555555555558</v>
      </c>
      <c r="M492" s="11">
        <f t="shared" si="65"/>
        <v>4.1666666666666685E-2</v>
      </c>
      <c r="N492" s="11">
        <f>IF(AND(H492="PUT", D492="S"), L492-K492, 0)</f>
        <v>0</v>
      </c>
      <c r="O492" s="11">
        <f>IF(AND(H492="P1", D492="T"), L492-K492, 0)</f>
        <v>0</v>
      </c>
      <c r="P492" s="11">
        <f>IF(AND(H492="PUT", D492="T"), L492-K492, 0)</f>
        <v>0</v>
      </c>
      <c r="V492" s="11">
        <f>M492</f>
        <v>4.1666666666666685E-2</v>
      </c>
      <c r="X492" s="11">
        <f t="shared" si="63"/>
        <v>4.1666666666666685E-2</v>
      </c>
      <c r="Y492" t="s">
        <v>528</v>
      </c>
    </row>
    <row r="493" spans="1:25" outlineLevel="1" x14ac:dyDescent="0.15">
      <c r="A493" s="3">
        <v>38647</v>
      </c>
      <c r="B493" s="3" t="str">
        <f>VLOOKUP(F493, Aircraft!A$2:C$99, 2, FALSE)</f>
        <v>PA28</v>
      </c>
      <c r="C493" t="str">
        <f>VLOOKUP(F493, Aircraft!A$2:C$99, 3, FALSE)</f>
        <v>S</v>
      </c>
      <c r="D493" t="str">
        <f t="shared" si="64"/>
        <v>S</v>
      </c>
      <c r="E493" t="str">
        <f t="shared" si="62"/>
        <v>PA28</v>
      </c>
      <c r="F493" t="s">
        <v>128</v>
      </c>
      <c r="G493" t="s">
        <v>191</v>
      </c>
      <c r="H493" s="2" t="str">
        <f t="shared" si="69"/>
        <v>P1</v>
      </c>
      <c r="I493" t="s">
        <v>250</v>
      </c>
      <c r="J493" t="s">
        <v>250</v>
      </c>
      <c r="K493" s="4">
        <v>0.51875000000000004</v>
      </c>
      <c r="L493" s="4">
        <v>0.55902777777777779</v>
      </c>
      <c r="M493" s="11">
        <f t="shared" ref="M493:M563" si="70">IF(AND(H493="P1", D493="S"), L493-K493, 0)</f>
        <v>4.0277777777777746E-2</v>
      </c>
      <c r="N493" s="11">
        <f t="shared" ref="N493:N563" si="71">IF(AND(H493="PUT", D493="S"), L493-K493, 0)</f>
        <v>0</v>
      </c>
      <c r="O493" s="11">
        <f t="shared" ref="O493:O563" si="72">IF(AND(H493="P1", D493="T"), L493-K493, 0)</f>
        <v>0</v>
      </c>
      <c r="P493" s="11">
        <f t="shared" ref="P493:P563" si="73">IF(AND(H493="PUT", D493="T"), L493-K493, 0)</f>
        <v>0</v>
      </c>
      <c r="Q493" s="11"/>
      <c r="R493" s="11"/>
      <c r="S493" s="11"/>
      <c r="T493" s="11"/>
      <c r="V493" s="11">
        <f>M493</f>
        <v>4.0277777777777746E-2</v>
      </c>
      <c r="X493" s="11">
        <f t="shared" si="63"/>
        <v>4.0277777777777746E-2</v>
      </c>
      <c r="Y493" t="s">
        <v>529</v>
      </c>
    </row>
    <row r="494" spans="1:25" outlineLevel="1" x14ac:dyDescent="0.15">
      <c r="A494" s="3">
        <v>38647</v>
      </c>
      <c r="B494" s="3" t="str">
        <f>VLOOKUP(F494, Aircraft!A$2:C$99, 2, FALSE)</f>
        <v>PA28</v>
      </c>
      <c r="C494" t="str">
        <f>VLOOKUP(F494, Aircraft!A$2:C$99, 3, FALSE)</f>
        <v>S</v>
      </c>
      <c r="D494" t="str">
        <f t="shared" si="64"/>
        <v>S</v>
      </c>
      <c r="E494" t="str">
        <f t="shared" si="62"/>
        <v>PA28</v>
      </c>
      <c r="F494" t="s">
        <v>132</v>
      </c>
      <c r="G494" t="s">
        <v>191</v>
      </c>
      <c r="H494" s="2" t="str">
        <f t="shared" si="69"/>
        <v>P1</v>
      </c>
      <c r="I494" t="s">
        <v>250</v>
      </c>
      <c r="J494" t="s">
        <v>250</v>
      </c>
      <c r="K494" s="4">
        <v>0.60763888888888895</v>
      </c>
      <c r="L494" s="4">
        <v>0.64236111111111105</v>
      </c>
      <c r="M494" s="11">
        <f t="shared" si="70"/>
        <v>3.4722222222222099E-2</v>
      </c>
      <c r="N494" s="11">
        <f t="shared" si="71"/>
        <v>0</v>
      </c>
      <c r="O494" s="11">
        <f t="shared" si="72"/>
        <v>0</v>
      </c>
      <c r="P494" s="11">
        <f t="shared" si="73"/>
        <v>0</v>
      </c>
      <c r="Q494" s="11"/>
      <c r="R494" s="11"/>
      <c r="S494" s="11"/>
      <c r="T494" s="11"/>
      <c r="V494" s="11">
        <f>M494</f>
        <v>3.4722222222222099E-2</v>
      </c>
      <c r="X494" s="11">
        <f t="shared" si="63"/>
        <v>3.4722222222222099E-2</v>
      </c>
      <c r="Y494" t="s">
        <v>530</v>
      </c>
    </row>
    <row r="495" spans="1:25" outlineLevel="1" x14ac:dyDescent="0.15">
      <c r="A495" s="3">
        <v>38661</v>
      </c>
      <c r="B495" s="3" t="str">
        <f>VLOOKUP(F495, Aircraft!A$2:C$99, 2, FALSE)</f>
        <v>PA28</v>
      </c>
      <c r="C495" t="str">
        <f>VLOOKUP(F495, Aircraft!A$2:C$99, 3, FALSE)</f>
        <v>S</v>
      </c>
      <c r="D495" t="str">
        <f t="shared" si="64"/>
        <v>S</v>
      </c>
      <c r="E495" t="str">
        <f t="shared" si="62"/>
        <v>PA28</v>
      </c>
      <c r="F495" t="s">
        <v>132</v>
      </c>
      <c r="G495" t="s">
        <v>191</v>
      </c>
      <c r="H495" s="2" t="str">
        <f t="shared" si="69"/>
        <v>P1</v>
      </c>
      <c r="I495" t="s">
        <v>250</v>
      </c>
      <c r="J495" t="s">
        <v>250</v>
      </c>
      <c r="K495" s="4">
        <v>0.47569444444444442</v>
      </c>
      <c r="L495" s="4">
        <v>0.51388888888888895</v>
      </c>
      <c r="M495" s="11">
        <f t="shared" si="70"/>
        <v>3.8194444444444531E-2</v>
      </c>
      <c r="N495" s="11">
        <f t="shared" si="71"/>
        <v>0</v>
      </c>
      <c r="O495" s="11">
        <f t="shared" si="72"/>
        <v>0</v>
      </c>
      <c r="P495" s="11">
        <f t="shared" si="73"/>
        <v>0</v>
      </c>
      <c r="Q495" s="11"/>
      <c r="R495" s="11"/>
      <c r="S495" s="11"/>
      <c r="T495" s="11"/>
      <c r="V495" s="11">
        <f>M495</f>
        <v>3.8194444444444531E-2</v>
      </c>
      <c r="X495" s="11">
        <f t="shared" si="63"/>
        <v>3.8194444444444531E-2</v>
      </c>
      <c r="Y495" t="s">
        <v>531</v>
      </c>
    </row>
    <row r="496" spans="1:25" outlineLevel="1" x14ac:dyDescent="0.15">
      <c r="A496" s="3">
        <v>38661</v>
      </c>
      <c r="B496" s="3" t="str">
        <f>VLOOKUP(F496, Aircraft!A$2:C$99, 2, FALSE)</f>
        <v>PA28</v>
      </c>
      <c r="C496" t="str">
        <f>VLOOKUP(F496, Aircraft!A$2:C$99, 3, FALSE)</f>
        <v>S</v>
      </c>
      <c r="D496" t="str">
        <f t="shared" si="64"/>
        <v>S</v>
      </c>
      <c r="E496" t="str">
        <f t="shared" si="62"/>
        <v>PA28</v>
      </c>
      <c r="F496" t="s">
        <v>132</v>
      </c>
      <c r="G496" t="s">
        <v>191</v>
      </c>
      <c r="H496" s="2" t="str">
        <f t="shared" si="69"/>
        <v>P1</v>
      </c>
      <c r="I496" t="s">
        <v>250</v>
      </c>
      <c r="J496" t="s">
        <v>250</v>
      </c>
      <c r="K496" s="4">
        <v>0.55555555555555558</v>
      </c>
      <c r="L496" s="4">
        <v>0.57986111111111105</v>
      </c>
      <c r="M496" s="11">
        <f t="shared" si="70"/>
        <v>2.4305555555555469E-2</v>
      </c>
      <c r="N496" s="11">
        <f t="shared" si="71"/>
        <v>0</v>
      </c>
      <c r="O496" s="11">
        <f t="shared" si="72"/>
        <v>0</v>
      </c>
      <c r="P496" s="11">
        <f t="shared" si="73"/>
        <v>0</v>
      </c>
      <c r="Q496" s="11"/>
      <c r="R496" s="11"/>
      <c r="S496" s="11"/>
      <c r="T496" s="11"/>
      <c r="V496" s="11">
        <f>M496</f>
        <v>2.4305555555555469E-2</v>
      </c>
      <c r="X496" s="11">
        <f t="shared" si="63"/>
        <v>2.4305555555555469E-2</v>
      </c>
      <c r="Y496" t="s">
        <v>532</v>
      </c>
    </row>
    <row r="497" spans="1:26" outlineLevel="1" x14ac:dyDescent="0.15">
      <c r="A497" s="3">
        <v>38663</v>
      </c>
      <c r="B497" s="3" t="str">
        <f>VLOOKUP(F497, Aircraft!A$2:C$99, 2, FALSE)</f>
        <v>BE76</v>
      </c>
      <c r="C497" t="str">
        <f>VLOOKUP(F497, Aircraft!A$2:C$99, 3, FALSE)</f>
        <v>T</v>
      </c>
      <c r="D497" t="str">
        <f t="shared" si="64"/>
        <v>T</v>
      </c>
      <c r="E497" t="str">
        <f t="shared" si="62"/>
        <v>BE76</v>
      </c>
      <c r="F497" t="s">
        <v>847</v>
      </c>
      <c r="G497" t="s">
        <v>191</v>
      </c>
      <c r="H497" s="2" t="str">
        <f t="shared" si="69"/>
        <v>P1</v>
      </c>
      <c r="I497" t="s">
        <v>250</v>
      </c>
      <c r="J497" t="s">
        <v>250</v>
      </c>
      <c r="K497" s="4">
        <v>0.46527777777777773</v>
      </c>
      <c r="L497" s="4">
        <v>0.50138888888888888</v>
      </c>
      <c r="M497" s="11">
        <f t="shared" si="70"/>
        <v>0</v>
      </c>
      <c r="N497" s="11">
        <f t="shared" si="71"/>
        <v>0</v>
      </c>
      <c r="O497" s="11">
        <f t="shared" si="72"/>
        <v>3.6111111111111149E-2</v>
      </c>
      <c r="P497" s="11">
        <f t="shared" si="73"/>
        <v>0</v>
      </c>
      <c r="Q497" s="11"/>
      <c r="R497" s="11"/>
      <c r="S497" s="11"/>
      <c r="T497" s="11"/>
      <c r="X497" s="11">
        <f t="shared" si="63"/>
        <v>3.6111111111111149E-2</v>
      </c>
      <c r="Y497" t="s">
        <v>533</v>
      </c>
    </row>
    <row r="498" spans="1:26" outlineLevel="1" x14ac:dyDescent="0.15">
      <c r="A498" s="3">
        <v>38663</v>
      </c>
      <c r="B498" s="3" t="str">
        <f>VLOOKUP(F498, Aircraft!A$2:C$99, 2, FALSE)</f>
        <v>PA28</v>
      </c>
      <c r="C498" t="str">
        <f>VLOOKUP(F498, Aircraft!A$2:C$99, 3, FALSE)</f>
        <v>S</v>
      </c>
      <c r="D498" t="str">
        <f t="shared" si="64"/>
        <v>S</v>
      </c>
      <c r="E498" t="str">
        <f t="shared" si="62"/>
        <v>PA28</v>
      </c>
      <c r="F498" t="s">
        <v>132</v>
      </c>
      <c r="G498" t="s">
        <v>191</v>
      </c>
      <c r="H498" s="2" t="str">
        <f t="shared" si="69"/>
        <v>P1</v>
      </c>
      <c r="I498" t="s">
        <v>250</v>
      </c>
      <c r="J498" t="s">
        <v>250</v>
      </c>
      <c r="K498" s="4">
        <v>0.60902777777777783</v>
      </c>
      <c r="L498" s="4">
        <v>0.62847222222222221</v>
      </c>
      <c r="M498" s="11">
        <f t="shared" si="70"/>
        <v>1.9444444444444375E-2</v>
      </c>
      <c r="N498" s="11">
        <f t="shared" si="71"/>
        <v>0</v>
      </c>
      <c r="O498" s="11">
        <f t="shared" si="72"/>
        <v>0</v>
      </c>
      <c r="P498" s="11">
        <f t="shared" si="73"/>
        <v>0</v>
      </c>
      <c r="Q498" s="11"/>
      <c r="R498" s="11"/>
      <c r="S498" s="11"/>
      <c r="T498" s="11"/>
      <c r="V498" s="11">
        <f>M498</f>
        <v>1.9444444444444375E-2</v>
      </c>
      <c r="X498" s="11">
        <f t="shared" si="63"/>
        <v>1.9444444444444375E-2</v>
      </c>
      <c r="Y498" t="s">
        <v>678</v>
      </c>
    </row>
    <row r="499" spans="1:26" outlineLevel="1" x14ac:dyDescent="0.15">
      <c r="A499" s="3">
        <v>38665</v>
      </c>
      <c r="B499" s="3" t="str">
        <f>VLOOKUP(F499, Aircraft!A$2:C$99, 2, FALSE)</f>
        <v>BE76</v>
      </c>
      <c r="C499" t="str">
        <f>VLOOKUP(F499, Aircraft!A$2:C$99, 3, FALSE)</f>
        <v>T</v>
      </c>
      <c r="D499" t="str">
        <f t="shared" si="64"/>
        <v>T</v>
      </c>
      <c r="E499" t="str">
        <f t="shared" si="62"/>
        <v>BE76</v>
      </c>
      <c r="F499" t="s">
        <v>847</v>
      </c>
      <c r="G499" t="s">
        <v>191</v>
      </c>
      <c r="H499" s="2" t="str">
        <f t="shared" si="69"/>
        <v>P1</v>
      </c>
      <c r="I499" t="s">
        <v>250</v>
      </c>
      <c r="J499" t="s">
        <v>250</v>
      </c>
      <c r="K499" s="4">
        <v>0.47569444444444442</v>
      </c>
      <c r="L499" s="4">
        <v>0.55208333333333337</v>
      </c>
      <c r="M499" s="11">
        <f t="shared" si="70"/>
        <v>0</v>
      </c>
      <c r="N499" s="11">
        <f t="shared" si="71"/>
        <v>0</v>
      </c>
      <c r="O499" s="11">
        <f t="shared" si="72"/>
        <v>7.6388888888888951E-2</v>
      </c>
      <c r="P499" s="11">
        <f t="shared" si="73"/>
        <v>0</v>
      </c>
      <c r="Q499" s="11"/>
      <c r="R499" s="11"/>
      <c r="S499" s="11"/>
      <c r="T499" s="11"/>
      <c r="U499" s="27">
        <v>0.8</v>
      </c>
      <c r="X499" s="11">
        <f t="shared" si="63"/>
        <v>7.6388888888888951E-2</v>
      </c>
      <c r="Y499" t="s">
        <v>679</v>
      </c>
    </row>
    <row r="500" spans="1:26" outlineLevel="1" x14ac:dyDescent="0.15">
      <c r="A500" s="3">
        <v>38666</v>
      </c>
      <c r="B500" s="3" t="str">
        <f>VLOOKUP(F500, Aircraft!A$2:C$99, 2, FALSE)</f>
        <v>BE76</v>
      </c>
      <c r="C500" t="str">
        <f>VLOOKUP(F500, Aircraft!A$2:C$99, 3, FALSE)</f>
        <v>T</v>
      </c>
      <c r="D500" t="str">
        <f t="shared" si="64"/>
        <v>T</v>
      </c>
      <c r="E500" t="str">
        <f t="shared" si="62"/>
        <v>BE76</v>
      </c>
      <c r="F500" t="s">
        <v>847</v>
      </c>
      <c r="G500" t="s">
        <v>191</v>
      </c>
      <c r="H500" s="2" t="str">
        <f t="shared" si="69"/>
        <v>P1</v>
      </c>
      <c r="I500" t="s">
        <v>250</v>
      </c>
      <c r="J500" t="s">
        <v>250</v>
      </c>
      <c r="K500" s="4">
        <v>0.64583333333333337</v>
      </c>
      <c r="L500" s="4">
        <v>0.69305555555555554</v>
      </c>
      <c r="M500" s="11">
        <f t="shared" si="70"/>
        <v>0</v>
      </c>
      <c r="N500" s="11">
        <f t="shared" si="71"/>
        <v>0</v>
      </c>
      <c r="O500" s="11">
        <f t="shared" si="72"/>
        <v>4.7222222222222165E-2</v>
      </c>
      <c r="P500" s="11">
        <f t="shared" si="73"/>
        <v>0</v>
      </c>
      <c r="Q500" s="11"/>
      <c r="R500" s="11"/>
      <c r="S500" s="11"/>
      <c r="T500" s="11"/>
      <c r="U500" s="27">
        <v>0.9</v>
      </c>
      <c r="V500" s="11"/>
      <c r="X500" s="11">
        <f t="shared" si="63"/>
        <v>4.7222222222222165E-2</v>
      </c>
      <c r="Y500" t="s">
        <v>680</v>
      </c>
    </row>
    <row r="501" spans="1:26" outlineLevel="1" x14ac:dyDescent="0.15">
      <c r="A501" s="3">
        <v>38668</v>
      </c>
      <c r="B501" s="3" t="str">
        <f>VLOOKUP(F501, Aircraft!A$2:C$99, 2, FALSE)</f>
        <v>DHC-1</v>
      </c>
      <c r="C501" t="str">
        <f>VLOOKUP(F501, Aircraft!A$2:C$99, 3, FALSE)</f>
        <v>S</v>
      </c>
      <c r="D501" t="str">
        <f t="shared" si="64"/>
        <v>S</v>
      </c>
      <c r="E501" t="s">
        <v>97</v>
      </c>
      <c r="F501" t="s">
        <v>38</v>
      </c>
      <c r="G501" t="s">
        <v>41</v>
      </c>
      <c r="H501" s="2" t="str">
        <f t="shared" si="69"/>
        <v>PUT</v>
      </c>
      <c r="I501" t="s">
        <v>250</v>
      </c>
      <c r="J501" t="s">
        <v>250</v>
      </c>
      <c r="K501" s="4">
        <v>0.58333333333333337</v>
      </c>
      <c r="L501" s="4">
        <v>0.625</v>
      </c>
      <c r="M501" s="11">
        <f t="shared" si="70"/>
        <v>0</v>
      </c>
      <c r="N501" s="11">
        <f t="shared" si="71"/>
        <v>4.166666666666663E-2</v>
      </c>
      <c r="O501" s="11">
        <f t="shared" si="72"/>
        <v>0</v>
      </c>
      <c r="P501" s="11">
        <f t="shared" si="73"/>
        <v>0</v>
      </c>
      <c r="Q501" s="11"/>
      <c r="R501" s="11"/>
      <c r="S501" s="11"/>
      <c r="T501" s="11"/>
      <c r="X501" s="11">
        <f t="shared" si="63"/>
        <v>4.166666666666663E-2</v>
      </c>
      <c r="Y501" t="s">
        <v>43</v>
      </c>
    </row>
    <row r="502" spans="1:26" outlineLevel="1" x14ac:dyDescent="0.15">
      <c r="A502" s="3">
        <v>38675</v>
      </c>
      <c r="B502" s="3" t="str">
        <f>VLOOKUP(F502, Aircraft!A$2:C$99, 2, FALSE)</f>
        <v>PA28</v>
      </c>
      <c r="C502" t="str">
        <f>VLOOKUP(F502, Aircraft!A$2:C$99, 3, FALSE)</f>
        <v>S</v>
      </c>
      <c r="D502" t="str">
        <f t="shared" si="64"/>
        <v>S</v>
      </c>
      <c r="E502" t="s">
        <v>412</v>
      </c>
      <c r="F502" t="s">
        <v>132</v>
      </c>
      <c r="G502" t="s">
        <v>191</v>
      </c>
      <c r="H502" s="2" t="str">
        <f t="shared" si="69"/>
        <v>P1</v>
      </c>
      <c r="I502" t="s">
        <v>250</v>
      </c>
      <c r="J502" t="s">
        <v>693</v>
      </c>
      <c r="K502" s="4">
        <v>0.40416666666666662</v>
      </c>
      <c r="L502" s="4">
        <v>0.4375</v>
      </c>
      <c r="M502" s="11">
        <f t="shared" si="70"/>
        <v>3.3333333333333381E-2</v>
      </c>
      <c r="N502" s="11">
        <f t="shared" si="71"/>
        <v>0</v>
      </c>
      <c r="O502" s="11">
        <f t="shared" si="72"/>
        <v>0</v>
      </c>
      <c r="P502" s="11">
        <f t="shared" si="73"/>
        <v>0</v>
      </c>
      <c r="Q502" s="11"/>
      <c r="R502" s="11"/>
      <c r="S502" s="11"/>
      <c r="T502" s="11"/>
      <c r="V502" s="11">
        <f>M502</f>
        <v>3.3333333333333381E-2</v>
      </c>
      <c r="X502" s="11">
        <f t="shared" si="63"/>
        <v>3.3333333333333381E-2</v>
      </c>
      <c r="Y502" t="s">
        <v>494</v>
      </c>
    </row>
    <row r="503" spans="1:26" outlineLevel="1" x14ac:dyDescent="0.15">
      <c r="A503" s="3">
        <v>38675</v>
      </c>
      <c r="B503" s="3" t="str">
        <f>VLOOKUP(F503, Aircraft!A$2:C$99, 2, FALSE)</f>
        <v>PA28</v>
      </c>
      <c r="C503" t="str">
        <f>VLOOKUP(F503, Aircraft!A$2:C$99, 3, FALSE)</f>
        <v>S</v>
      </c>
      <c r="D503" t="str">
        <f t="shared" si="64"/>
        <v>S</v>
      </c>
      <c r="E503" t="s">
        <v>412</v>
      </c>
      <c r="F503" t="s">
        <v>132</v>
      </c>
      <c r="G503" t="s">
        <v>191</v>
      </c>
      <c r="H503" s="2" t="str">
        <f t="shared" si="69"/>
        <v>P1</v>
      </c>
      <c r="I503" t="s">
        <v>693</v>
      </c>
      <c r="J503" t="s">
        <v>250</v>
      </c>
      <c r="K503" s="4">
        <v>0.4465277777777778</v>
      </c>
      <c r="L503" s="4">
        <v>0.47916666666666669</v>
      </c>
      <c r="M503" s="11">
        <f t="shared" si="70"/>
        <v>3.2638888888888884E-2</v>
      </c>
      <c r="N503" s="11">
        <f t="shared" si="71"/>
        <v>0</v>
      </c>
      <c r="O503" s="11">
        <f t="shared" si="72"/>
        <v>0</v>
      </c>
      <c r="P503" s="11">
        <f t="shared" si="73"/>
        <v>0</v>
      </c>
      <c r="Q503" s="11"/>
      <c r="R503" s="11"/>
      <c r="S503" s="11"/>
      <c r="T503" s="11"/>
      <c r="V503" s="11">
        <f>M503</f>
        <v>3.2638888888888884E-2</v>
      </c>
      <c r="X503" s="11">
        <f t="shared" si="63"/>
        <v>3.2638888888888884E-2</v>
      </c>
      <c r="Y503" t="s">
        <v>494</v>
      </c>
    </row>
    <row r="504" spans="1:26" outlineLevel="1" x14ac:dyDescent="0.15">
      <c r="A504" s="21">
        <v>38675</v>
      </c>
      <c r="B504" s="21" t="str">
        <f>VLOOKUP(F504, Aircraft!A$2:C$99, 2, FALSE)</f>
        <v>PA28</v>
      </c>
      <c r="C504" s="22" t="str">
        <f>VLOOKUP(F504, Aircraft!A$2:C$99, 3, FALSE)</f>
        <v>S</v>
      </c>
      <c r="D504" s="22" t="str">
        <f t="shared" si="64"/>
        <v>S</v>
      </c>
      <c r="E504" s="22" t="s">
        <v>412</v>
      </c>
      <c r="F504" s="22" t="s">
        <v>132</v>
      </c>
      <c r="G504" s="22" t="s">
        <v>191</v>
      </c>
      <c r="H504" s="23" t="str">
        <f t="shared" si="69"/>
        <v>P1</v>
      </c>
      <c r="I504" s="22" t="s">
        <v>250</v>
      </c>
      <c r="J504" s="22" t="s">
        <v>250</v>
      </c>
      <c r="K504" s="24">
        <v>0.49652777777777773</v>
      </c>
      <c r="L504" s="24">
        <v>0.55208333333333337</v>
      </c>
      <c r="M504" s="25">
        <f t="shared" si="70"/>
        <v>5.5555555555555636E-2</v>
      </c>
      <c r="N504" s="25">
        <f t="shared" si="71"/>
        <v>0</v>
      </c>
      <c r="O504" s="25">
        <f t="shared" si="72"/>
        <v>0</v>
      </c>
      <c r="P504" s="25">
        <f t="shared" si="73"/>
        <v>0</v>
      </c>
      <c r="Q504" s="25"/>
      <c r="R504" s="25"/>
      <c r="S504" s="25"/>
      <c r="T504" s="25"/>
      <c r="U504" s="29"/>
      <c r="V504" s="25">
        <f>M504</f>
        <v>5.5555555555555636E-2</v>
      </c>
      <c r="W504" s="23"/>
      <c r="X504" s="25">
        <f t="shared" si="63"/>
        <v>5.5555555555555636E-2</v>
      </c>
      <c r="Y504" s="22" t="s">
        <v>495</v>
      </c>
      <c r="Z504" s="22"/>
    </row>
    <row r="505" spans="1:26" outlineLevel="1" x14ac:dyDescent="0.15">
      <c r="A505" s="3">
        <v>38675</v>
      </c>
      <c r="B505" s="3" t="str">
        <f>VLOOKUP(F505, Aircraft!A$2:C$99, 2, FALSE)</f>
        <v>PA28</v>
      </c>
      <c r="C505" t="str">
        <f>VLOOKUP(F505, Aircraft!A$2:C$99, 3, FALSE)</f>
        <v>S</v>
      </c>
      <c r="D505" t="str">
        <f t="shared" si="64"/>
        <v>S</v>
      </c>
      <c r="E505" t="s">
        <v>412</v>
      </c>
      <c r="F505" t="s">
        <v>132</v>
      </c>
      <c r="G505" t="s">
        <v>191</v>
      </c>
      <c r="H505" s="2" t="str">
        <f t="shared" si="69"/>
        <v>P1</v>
      </c>
      <c r="I505" t="s">
        <v>250</v>
      </c>
      <c r="J505" t="s">
        <v>250</v>
      </c>
      <c r="K505" s="4">
        <v>0.66597222222222219</v>
      </c>
      <c r="L505" s="4">
        <v>0.68958333333333333</v>
      </c>
      <c r="M505" s="11">
        <f t="shared" si="70"/>
        <v>2.3611111111111138E-2</v>
      </c>
      <c r="N505" s="11">
        <f t="shared" si="71"/>
        <v>0</v>
      </c>
      <c r="O505" s="11">
        <f t="shared" si="72"/>
        <v>0</v>
      </c>
      <c r="P505" s="11">
        <f t="shared" si="73"/>
        <v>0</v>
      </c>
      <c r="Q505" s="11"/>
      <c r="R505" s="11"/>
      <c r="S505" s="11"/>
      <c r="T505" s="11"/>
      <c r="V505" s="11">
        <f>M505</f>
        <v>2.3611111111111138E-2</v>
      </c>
      <c r="X505" s="11">
        <f t="shared" si="63"/>
        <v>2.3611111111111138E-2</v>
      </c>
      <c r="Y505" t="s">
        <v>496</v>
      </c>
    </row>
    <row r="506" spans="1:26" outlineLevel="1" x14ac:dyDescent="0.15">
      <c r="A506" s="3">
        <v>38676</v>
      </c>
      <c r="B506" s="3" t="str">
        <f>VLOOKUP(F506, Aircraft!A$2:C$99, 2, FALSE)</f>
        <v>BE76</v>
      </c>
      <c r="C506" t="str">
        <f>VLOOKUP(F506, Aircraft!A$2:C$99, 3, FALSE)</f>
        <v>T</v>
      </c>
      <c r="D506" t="str">
        <f t="shared" si="64"/>
        <v>T</v>
      </c>
      <c r="E506" t="s">
        <v>848</v>
      </c>
      <c r="F506" t="s">
        <v>847</v>
      </c>
      <c r="G506" t="s">
        <v>191</v>
      </c>
      <c r="H506" s="2" t="str">
        <f t="shared" si="69"/>
        <v>P1</v>
      </c>
      <c r="I506" t="s">
        <v>250</v>
      </c>
      <c r="J506" t="s">
        <v>497</v>
      </c>
      <c r="K506" s="4">
        <v>0.54583333333333328</v>
      </c>
      <c r="L506" s="4">
        <v>0.6</v>
      </c>
      <c r="M506" s="11">
        <f t="shared" si="70"/>
        <v>0</v>
      </c>
      <c r="N506" s="11">
        <f t="shared" si="71"/>
        <v>0</v>
      </c>
      <c r="O506" s="11">
        <f t="shared" si="72"/>
        <v>5.4166666666666696E-2</v>
      </c>
      <c r="P506" s="11">
        <f t="shared" si="73"/>
        <v>0</v>
      </c>
      <c r="Q506" s="11"/>
      <c r="R506" s="11"/>
      <c r="S506" s="11"/>
      <c r="T506" s="11"/>
      <c r="X506" s="11">
        <f t="shared" si="63"/>
        <v>5.4166666666666696E-2</v>
      </c>
    </row>
    <row r="507" spans="1:26" outlineLevel="1" x14ac:dyDescent="0.15">
      <c r="A507" s="3">
        <v>38676</v>
      </c>
      <c r="B507" s="3" t="str">
        <f>VLOOKUP(F507, Aircraft!A$2:C$99, 2, FALSE)</f>
        <v>BE76</v>
      </c>
      <c r="C507" t="str">
        <f>VLOOKUP(F507, Aircraft!A$2:C$99, 3, FALSE)</f>
        <v>T</v>
      </c>
      <c r="D507" t="str">
        <f t="shared" si="64"/>
        <v>T</v>
      </c>
      <c r="E507" t="s">
        <v>848</v>
      </c>
      <c r="F507" t="s">
        <v>847</v>
      </c>
      <c r="G507" t="s">
        <v>191</v>
      </c>
      <c r="H507" s="2" t="str">
        <f t="shared" si="69"/>
        <v>P1</v>
      </c>
      <c r="I507" t="s">
        <v>497</v>
      </c>
      <c r="J507" t="s">
        <v>250</v>
      </c>
      <c r="K507" s="4">
        <v>0.65208333333333335</v>
      </c>
      <c r="L507" s="4">
        <v>0.7</v>
      </c>
      <c r="M507" s="11">
        <f t="shared" si="70"/>
        <v>0</v>
      </c>
      <c r="N507" s="11">
        <f t="shared" si="71"/>
        <v>0</v>
      </c>
      <c r="O507" s="11">
        <f>IF(AND(H507="P1", D507="T"), L507-K507, 0)-(5/60/24)</f>
        <v>4.4444444444444384E-2</v>
      </c>
      <c r="P507" s="11">
        <f t="shared" si="73"/>
        <v>0</v>
      </c>
      <c r="Q507" s="11"/>
      <c r="R507" s="11"/>
      <c r="S507" s="11">
        <f>5/60/24</f>
        <v>3.472222222222222E-3</v>
      </c>
      <c r="T507" s="11"/>
      <c r="X507" s="11">
        <f t="shared" si="63"/>
        <v>4.7916666666666607E-2</v>
      </c>
    </row>
    <row r="508" spans="1:26" outlineLevel="1" x14ac:dyDescent="0.15">
      <c r="A508" s="3">
        <v>38689</v>
      </c>
      <c r="B508" s="3" t="str">
        <f>VLOOKUP(F508, Aircraft!A$2:C$99, 2, FALSE)</f>
        <v>PA28</v>
      </c>
      <c r="C508" t="str">
        <f>VLOOKUP(F508, Aircraft!A$2:C$99, 3, FALSE)</f>
        <v>S</v>
      </c>
      <c r="D508" t="str">
        <f t="shared" si="64"/>
        <v>S</v>
      </c>
      <c r="E508" t="s">
        <v>412</v>
      </c>
      <c r="F508" t="s">
        <v>132</v>
      </c>
      <c r="G508" t="s">
        <v>191</v>
      </c>
      <c r="H508" s="2" t="str">
        <f t="shared" si="69"/>
        <v>P1</v>
      </c>
      <c r="I508" t="s">
        <v>250</v>
      </c>
      <c r="J508" t="s">
        <v>250</v>
      </c>
      <c r="K508" s="4">
        <v>0.43958333333333338</v>
      </c>
      <c r="L508" s="4">
        <v>0.46180555555555558</v>
      </c>
      <c r="M508" s="11">
        <f t="shared" si="70"/>
        <v>2.2222222222222199E-2</v>
      </c>
      <c r="N508" s="11">
        <f t="shared" si="71"/>
        <v>0</v>
      </c>
      <c r="O508" s="11">
        <f t="shared" si="72"/>
        <v>0</v>
      </c>
      <c r="P508" s="11">
        <f t="shared" si="73"/>
        <v>0</v>
      </c>
      <c r="Q508" s="11"/>
      <c r="R508" s="11"/>
      <c r="S508" s="11"/>
      <c r="T508" s="11"/>
      <c r="V508" s="11">
        <f>M508</f>
        <v>2.2222222222222199E-2</v>
      </c>
      <c r="X508" s="11">
        <f t="shared" si="63"/>
        <v>2.2222222222222199E-2</v>
      </c>
      <c r="Y508" t="s">
        <v>498</v>
      </c>
    </row>
    <row r="509" spans="1:26" outlineLevel="1" x14ac:dyDescent="0.15">
      <c r="A509" s="3">
        <v>38696</v>
      </c>
      <c r="B509" s="3" t="str">
        <f>VLOOKUP(F509, Aircraft!A$2:C$99, 2, FALSE)</f>
        <v>DHC-1</v>
      </c>
      <c r="C509" t="str">
        <f>VLOOKUP(F509, Aircraft!A$2:C$99, 3, FALSE)</f>
        <v>S</v>
      </c>
      <c r="D509" t="str">
        <f t="shared" si="64"/>
        <v>S</v>
      </c>
      <c r="E509" t="s">
        <v>97</v>
      </c>
      <c r="F509" t="s">
        <v>38</v>
      </c>
      <c r="G509" t="s">
        <v>41</v>
      </c>
      <c r="H509" s="2" t="str">
        <f t="shared" si="69"/>
        <v>PUT</v>
      </c>
      <c r="I509" t="s">
        <v>250</v>
      </c>
      <c r="J509" t="s">
        <v>250</v>
      </c>
      <c r="K509" s="4">
        <v>0.54513888888888895</v>
      </c>
      <c r="L509" s="4">
        <v>0.56874999999999998</v>
      </c>
      <c r="M509" s="11">
        <f t="shared" si="70"/>
        <v>0</v>
      </c>
      <c r="N509" s="11">
        <f t="shared" si="71"/>
        <v>2.3611111111111027E-2</v>
      </c>
      <c r="O509" s="11">
        <f t="shared" si="72"/>
        <v>0</v>
      </c>
      <c r="P509" s="11">
        <f t="shared" si="73"/>
        <v>0</v>
      </c>
      <c r="Q509" s="11"/>
      <c r="R509" s="11"/>
      <c r="S509" s="11"/>
      <c r="T509" s="11"/>
      <c r="X509" s="11">
        <f t="shared" si="63"/>
        <v>2.3611111111111027E-2</v>
      </c>
      <c r="Y509" t="s">
        <v>845</v>
      </c>
    </row>
    <row r="510" spans="1:26" outlineLevel="1" x14ac:dyDescent="0.15">
      <c r="A510" s="3">
        <v>38696</v>
      </c>
      <c r="B510" s="3" t="str">
        <f>VLOOKUP(F510, Aircraft!A$2:C$99, 2, FALSE)</f>
        <v>DHC-1</v>
      </c>
      <c r="C510" t="str">
        <f>VLOOKUP(F510, Aircraft!A$2:C$99, 3, FALSE)</f>
        <v>S</v>
      </c>
      <c r="D510" t="str">
        <f t="shared" si="64"/>
        <v>S</v>
      </c>
      <c r="E510" t="s">
        <v>97</v>
      </c>
      <c r="F510" t="s">
        <v>38</v>
      </c>
      <c r="G510" t="s">
        <v>191</v>
      </c>
      <c r="H510" s="2" t="str">
        <f t="shared" si="69"/>
        <v>P1</v>
      </c>
      <c r="I510" t="s">
        <v>250</v>
      </c>
      <c r="J510" t="s">
        <v>250</v>
      </c>
      <c r="K510" s="4">
        <v>0.56874999999999998</v>
      </c>
      <c r="L510" s="4">
        <v>0.59027777777777779</v>
      </c>
      <c r="M510" s="11">
        <f t="shared" si="70"/>
        <v>2.1527777777777812E-2</v>
      </c>
      <c r="N510" s="11">
        <f t="shared" si="71"/>
        <v>0</v>
      </c>
      <c r="O510" s="11">
        <f t="shared" si="72"/>
        <v>0</v>
      </c>
      <c r="P510" s="11">
        <f t="shared" si="73"/>
        <v>0</v>
      </c>
      <c r="Q510" s="11"/>
      <c r="R510" s="11"/>
      <c r="S510" s="11"/>
      <c r="T510" s="11"/>
      <c r="X510" s="11">
        <f t="shared" si="63"/>
        <v>2.1527777777777812E-2</v>
      </c>
    </row>
    <row r="511" spans="1:26" outlineLevel="1" x14ac:dyDescent="0.15">
      <c r="A511" s="3">
        <v>38696</v>
      </c>
      <c r="B511" s="3" t="str">
        <f>VLOOKUP(F511, Aircraft!A$2:C$99, 2, FALSE)</f>
        <v>PA28</v>
      </c>
      <c r="C511" t="str">
        <f>VLOOKUP(F511, Aircraft!A$2:C$99, 3, FALSE)</f>
        <v>S</v>
      </c>
      <c r="D511" t="str">
        <f t="shared" si="64"/>
        <v>S</v>
      </c>
      <c r="E511" t="s">
        <v>412</v>
      </c>
      <c r="F511" t="s">
        <v>132</v>
      </c>
      <c r="G511" t="s">
        <v>191</v>
      </c>
      <c r="H511" s="2" t="str">
        <f t="shared" si="69"/>
        <v>P1</v>
      </c>
      <c r="I511" t="s">
        <v>250</v>
      </c>
      <c r="J511" t="s">
        <v>250</v>
      </c>
      <c r="K511" s="4">
        <v>0.6118055555555556</v>
      </c>
      <c r="L511" s="4">
        <v>0.63611111111111118</v>
      </c>
      <c r="M511" s="11">
        <f t="shared" si="70"/>
        <v>2.430555555555558E-2</v>
      </c>
      <c r="N511" s="11">
        <f t="shared" si="71"/>
        <v>0</v>
      </c>
      <c r="O511" s="11">
        <f t="shared" si="72"/>
        <v>0</v>
      </c>
      <c r="P511" s="11">
        <f t="shared" si="73"/>
        <v>0</v>
      </c>
      <c r="Q511" s="11"/>
      <c r="R511" s="11"/>
      <c r="S511" s="11"/>
      <c r="T511" s="11"/>
      <c r="V511" s="11">
        <f>M511</f>
        <v>2.430555555555558E-2</v>
      </c>
      <c r="X511" s="11">
        <f t="shared" si="63"/>
        <v>2.430555555555558E-2</v>
      </c>
      <c r="Y511" t="s">
        <v>371</v>
      </c>
    </row>
    <row r="512" spans="1:26" outlineLevel="1" x14ac:dyDescent="0.15">
      <c r="A512" s="3">
        <v>38703</v>
      </c>
      <c r="B512" s="3" t="str">
        <f>VLOOKUP(F512, Aircraft!A$2:C$99, 2, FALSE)</f>
        <v>PA28</v>
      </c>
      <c r="C512" t="str">
        <f>VLOOKUP(F512, Aircraft!A$2:C$99, 3, FALSE)</f>
        <v>S</v>
      </c>
      <c r="D512" t="str">
        <f t="shared" si="64"/>
        <v>S</v>
      </c>
      <c r="E512" t="s">
        <v>412</v>
      </c>
      <c r="F512" t="s">
        <v>132</v>
      </c>
      <c r="G512" t="s">
        <v>191</v>
      </c>
      <c r="H512" s="2" t="str">
        <f t="shared" si="69"/>
        <v>P1</v>
      </c>
      <c r="I512" t="s">
        <v>250</v>
      </c>
      <c r="J512" t="s">
        <v>374</v>
      </c>
      <c r="K512" s="4">
        <v>0.42222222222222222</v>
      </c>
      <c r="L512" s="4">
        <v>0.46458333333333335</v>
      </c>
      <c r="M512" s="11">
        <f t="shared" si="70"/>
        <v>4.2361111111111127E-2</v>
      </c>
      <c r="N512" s="11">
        <f t="shared" si="71"/>
        <v>0</v>
      </c>
      <c r="O512" s="11">
        <f t="shared" si="72"/>
        <v>0</v>
      </c>
      <c r="P512" s="11">
        <f t="shared" si="73"/>
        <v>0</v>
      </c>
      <c r="Q512" s="11"/>
      <c r="R512" s="11"/>
      <c r="S512" s="11"/>
      <c r="T512" s="11"/>
      <c r="V512" s="11">
        <f>M512</f>
        <v>4.2361111111111127E-2</v>
      </c>
      <c r="X512" s="11">
        <f t="shared" si="63"/>
        <v>4.2361111111111127E-2</v>
      </c>
      <c r="Y512" t="s">
        <v>501</v>
      </c>
    </row>
    <row r="513" spans="1:25" outlineLevel="1" x14ac:dyDescent="0.15">
      <c r="A513" s="3">
        <v>38703</v>
      </c>
      <c r="B513" s="3" t="str">
        <f>VLOOKUP(F513, Aircraft!A$2:C$99, 2, FALSE)</f>
        <v>PA28</v>
      </c>
      <c r="C513" t="str">
        <f>VLOOKUP(F513, Aircraft!A$2:C$99, 3, FALSE)</f>
        <v>S</v>
      </c>
      <c r="D513" t="str">
        <f t="shared" si="64"/>
        <v>S</v>
      </c>
      <c r="E513" t="s">
        <v>412</v>
      </c>
      <c r="F513" t="s">
        <v>132</v>
      </c>
      <c r="G513" t="s">
        <v>191</v>
      </c>
      <c r="H513" s="2" t="str">
        <f t="shared" si="69"/>
        <v>P1</v>
      </c>
      <c r="I513" t="s">
        <v>374</v>
      </c>
      <c r="J513" t="s">
        <v>250</v>
      </c>
      <c r="K513" s="4">
        <v>0.48194444444444445</v>
      </c>
      <c r="L513" s="4">
        <v>0.50486111111111109</v>
      </c>
      <c r="M513" s="11">
        <f t="shared" si="70"/>
        <v>2.2916666666666641E-2</v>
      </c>
      <c r="N513" s="11">
        <f t="shared" si="71"/>
        <v>0</v>
      </c>
      <c r="O513" s="11">
        <f t="shared" si="72"/>
        <v>0</v>
      </c>
      <c r="P513" s="11">
        <f t="shared" si="73"/>
        <v>0</v>
      </c>
      <c r="Q513" s="11"/>
      <c r="R513" s="11"/>
      <c r="S513" s="11"/>
      <c r="T513" s="11"/>
      <c r="V513" s="11">
        <f>M513</f>
        <v>2.2916666666666641E-2</v>
      </c>
      <c r="X513" s="11">
        <f t="shared" si="63"/>
        <v>2.2916666666666641E-2</v>
      </c>
    </row>
    <row r="514" spans="1:25" outlineLevel="1" x14ac:dyDescent="0.15">
      <c r="A514" s="3">
        <v>38703</v>
      </c>
      <c r="B514" s="3" t="str">
        <f>VLOOKUP(F514, Aircraft!A$2:C$99, 2, FALSE)</f>
        <v>PA28</v>
      </c>
      <c r="C514" t="str">
        <f>VLOOKUP(F514, Aircraft!A$2:C$99, 3, FALSE)</f>
        <v>S</v>
      </c>
      <c r="D514" t="str">
        <f t="shared" si="64"/>
        <v>S</v>
      </c>
      <c r="E514" t="s">
        <v>412</v>
      </c>
      <c r="F514" t="s">
        <v>132</v>
      </c>
      <c r="G514" t="s">
        <v>191</v>
      </c>
      <c r="H514" s="2" t="str">
        <f t="shared" si="69"/>
        <v>P1</v>
      </c>
      <c r="I514" t="s">
        <v>250</v>
      </c>
      <c r="J514" t="s">
        <v>693</v>
      </c>
      <c r="K514" s="4">
        <v>0.52847222222222223</v>
      </c>
      <c r="L514" s="4">
        <v>0.55833333333333335</v>
      </c>
      <c r="M514" s="11">
        <f t="shared" si="70"/>
        <v>2.9861111111111116E-2</v>
      </c>
      <c r="N514" s="11">
        <f t="shared" si="71"/>
        <v>0</v>
      </c>
      <c r="O514" s="11">
        <f t="shared" si="72"/>
        <v>0</v>
      </c>
      <c r="P514" s="11">
        <f t="shared" si="73"/>
        <v>0</v>
      </c>
      <c r="Q514" s="11"/>
      <c r="R514" s="11"/>
      <c r="S514" s="11"/>
      <c r="T514" s="11"/>
      <c r="V514" s="11">
        <f>M514</f>
        <v>2.9861111111111116E-2</v>
      </c>
      <c r="X514" s="11">
        <f t="shared" si="63"/>
        <v>2.9861111111111116E-2</v>
      </c>
      <c r="Y514" t="s">
        <v>502</v>
      </c>
    </row>
    <row r="515" spans="1:25" outlineLevel="1" x14ac:dyDescent="0.15">
      <c r="A515" s="21">
        <v>38703</v>
      </c>
      <c r="B515" s="21" t="str">
        <f>VLOOKUP(F515, Aircraft!A$2:C$99, 2, FALSE)</f>
        <v>PA28</v>
      </c>
      <c r="C515" s="22" t="str">
        <f>VLOOKUP(F515, Aircraft!A$2:C$99, 3, FALSE)</f>
        <v>S</v>
      </c>
      <c r="D515" s="22" t="str">
        <f t="shared" si="64"/>
        <v>S</v>
      </c>
      <c r="E515" s="22" t="s">
        <v>412</v>
      </c>
      <c r="F515" s="22" t="s">
        <v>132</v>
      </c>
      <c r="G515" s="22" t="s">
        <v>191</v>
      </c>
      <c r="H515" s="23" t="str">
        <f t="shared" si="69"/>
        <v>P1</v>
      </c>
      <c r="I515" s="22" t="s">
        <v>693</v>
      </c>
      <c r="J515" s="22" t="s">
        <v>250</v>
      </c>
      <c r="K515" s="24">
        <v>0.56805555555555554</v>
      </c>
      <c r="L515" s="24">
        <v>0.6020833333333333</v>
      </c>
      <c r="M515" s="25">
        <f t="shared" si="70"/>
        <v>3.4027777777777768E-2</v>
      </c>
      <c r="N515" s="25">
        <f t="shared" si="71"/>
        <v>0</v>
      </c>
      <c r="O515" s="25">
        <f t="shared" si="72"/>
        <v>0</v>
      </c>
      <c r="P515" s="25">
        <f t="shared" si="73"/>
        <v>0</v>
      </c>
      <c r="Q515" s="25"/>
      <c r="R515" s="25"/>
      <c r="S515" s="25"/>
      <c r="T515" s="25"/>
      <c r="U515" s="29"/>
      <c r="V515" s="25">
        <f>M515</f>
        <v>3.4027777777777768E-2</v>
      </c>
      <c r="W515" s="23"/>
      <c r="X515" s="25">
        <f t="shared" si="63"/>
        <v>3.4027777777777768E-2</v>
      </c>
      <c r="Y515" s="22"/>
    </row>
    <row r="516" spans="1:25" outlineLevel="1" x14ac:dyDescent="0.15">
      <c r="A516" s="3">
        <v>38703</v>
      </c>
      <c r="B516" s="3" t="str">
        <f>VLOOKUP(F516, Aircraft!A$2:C$99, 2, FALSE)</f>
        <v>DHC-1</v>
      </c>
      <c r="C516" t="str">
        <f>VLOOKUP(F516, Aircraft!A$2:C$99, 3, FALSE)</f>
        <v>S</v>
      </c>
      <c r="D516" t="str">
        <f t="shared" si="64"/>
        <v>S</v>
      </c>
      <c r="E516" t="s">
        <v>97</v>
      </c>
      <c r="F516" t="s">
        <v>38</v>
      </c>
      <c r="G516" t="s">
        <v>41</v>
      </c>
      <c r="H516" s="2" t="str">
        <f t="shared" si="69"/>
        <v>PUT</v>
      </c>
      <c r="I516" t="s">
        <v>250</v>
      </c>
      <c r="J516" t="s">
        <v>250</v>
      </c>
      <c r="K516" s="4">
        <v>0.65625</v>
      </c>
      <c r="L516" s="4">
        <v>0.6875</v>
      </c>
      <c r="M516" s="11">
        <f t="shared" si="70"/>
        <v>0</v>
      </c>
      <c r="N516" s="11">
        <f t="shared" si="71"/>
        <v>3.125E-2</v>
      </c>
      <c r="O516" s="11">
        <f t="shared" si="72"/>
        <v>0</v>
      </c>
      <c r="P516" s="11">
        <f t="shared" si="73"/>
        <v>0</v>
      </c>
      <c r="Q516" s="11"/>
      <c r="R516" s="11"/>
      <c r="S516" s="11"/>
      <c r="T516" s="11"/>
      <c r="X516" s="11">
        <f t="shared" si="63"/>
        <v>3.125E-2</v>
      </c>
      <c r="Y516" t="s">
        <v>503</v>
      </c>
    </row>
    <row r="517" spans="1:25" outlineLevel="1" x14ac:dyDescent="0.15">
      <c r="A517" s="3">
        <v>38714</v>
      </c>
      <c r="B517" s="3" t="str">
        <f>VLOOKUP(F517, Aircraft!A$2:C$99, 2, FALSE)</f>
        <v>PA28</v>
      </c>
      <c r="C517" t="str">
        <f>VLOOKUP(F517, Aircraft!A$2:C$99, 3, FALSE)</f>
        <v>S</v>
      </c>
      <c r="D517" t="str">
        <f t="shared" si="64"/>
        <v>S</v>
      </c>
      <c r="E517" t="s">
        <v>412</v>
      </c>
      <c r="F517" t="s">
        <v>132</v>
      </c>
      <c r="G517" t="s">
        <v>191</v>
      </c>
      <c r="H517" s="2" t="str">
        <f t="shared" si="69"/>
        <v>P1</v>
      </c>
      <c r="I517" t="s">
        <v>250</v>
      </c>
      <c r="J517" t="s">
        <v>250</v>
      </c>
      <c r="K517" s="4">
        <v>0.45833333333333331</v>
      </c>
      <c r="L517" s="4">
        <v>0.51736111111111105</v>
      </c>
      <c r="M517" s="11">
        <f t="shared" si="70"/>
        <v>5.9027777777777735E-2</v>
      </c>
      <c r="N517" s="11">
        <f t="shared" si="71"/>
        <v>0</v>
      </c>
      <c r="O517" s="11">
        <f t="shared" si="72"/>
        <v>0</v>
      </c>
      <c r="P517" s="11">
        <f t="shared" si="73"/>
        <v>0</v>
      </c>
      <c r="Q517" s="11"/>
      <c r="R517" s="11"/>
      <c r="S517" s="11"/>
      <c r="T517" s="11"/>
      <c r="V517" s="11">
        <f>M517</f>
        <v>5.9027777777777735E-2</v>
      </c>
      <c r="X517" s="11">
        <f t="shared" si="63"/>
        <v>5.9027777777777735E-2</v>
      </c>
      <c r="Y517" t="s">
        <v>504</v>
      </c>
    </row>
    <row r="518" spans="1:25" outlineLevel="1" x14ac:dyDescent="0.15">
      <c r="A518" s="3">
        <v>38714</v>
      </c>
      <c r="B518" s="3" t="str">
        <f>VLOOKUP(F518, Aircraft!A$2:C$99, 2, FALSE)</f>
        <v>PA28</v>
      </c>
      <c r="C518" t="str">
        <f>VLOOKUP(F518, Aircraft!A$2:C$99, 3, FALSE)</f>
        <v>S</v>
      </c>
      <c r="D518" t="str">
        <f t="shared" si="64"/>
        <v>S</v>
      </c>
      <c r="E518" t="s">
        <v>412</v>
      </c>
      <c r="F518" t="s">
        <v>132</v>
      </c>
      <c r="G518" t="s">
        <v>191</v>
      </c>
      <c r="H518" s="2" t="str">
        <f t="shared" si="69"/>
        <v>P1</v>
      </c>
      <c r="I518" t="s">
        <v>250</v>
      </c>
      <c r="J518" t="s">
        <v>250</v>
      </c>
      <c r="K518" s="4">
        <v>0.5625</v>
      </c>
      <c r="L518" s="4">
        <v>0.59027777777777779</v>
      </c>
      <c r="M518" s="11">
        <f t="shared" si="70"/>
        <v>2.777777777777779E-2</v>
      </c>
      <c r="N518" s="11">
        <f t="shared" si="71"/>
        <v>0</v>
      </c>
      <c r="O518" s="11">
        <f t="shared" si="72"/>
        <v>0</v>
      </c>
      <c r="P518" s="11">
        <f t="shared" si="73"/>
        <v>0</v>
      </c>
      <c r="Q518" s="11"/>
      <c r="R518" s="11"/>
      <c r="S518" s="11"/>
      <c r="T518" s="11"/>
      <c r="V518" s="11">
        <f>M518</f>
        <v>2.777777777777779E-2</v>
      </c>
      <c r="X518" s="11">
        <f t="shared" si="63"/>
        <v>2.777777777777779E-2</v>
      </c>
      <c r="Y518" t="s">
        <v>505</v>
      </c>
    </row>
    <row r="519" spans="1:25" outlineLevel="1" x14ac:dyDescent="0.15">
      <c r="A519" s="3">
        <v>38714</v>
      </c>
      <c r="B519" s="3" t="str">
        <f>VLOOKUP(F519, Aircraft!A$2:C$99, 2, FALSE)</f>
        <v>PA28</v>
      </c>
      <c r="C519" t="str">
        <f>VLOOKUP(F519, Aircraft!A$2:C$99, 3, FALSE)</f>
        <v>S</v>
      </c>
      <c r="D519" t="str">
        <f t="shared" si="64"/>
        <v>S</v>
      </c>
      <c r="E519" t="s">
        <v>412</v>
      </c>
      <c r="F519" t="s">
        <v>132</v>
      </c>
      <c r="G519" t="s">
        <v>191</v>
      </c>
      <c r="H519" s="2" t="str">
        <f t="shared" si="69"/>
        <v>P1</v>
      </c>
      <c r="I519" t="s">
        <v>250</v>
      </c>
      <c r="J519" t="s">
        <v>250</v>
      </c>
      <c r="K519" s="4">
        <v>0.625</v>
      </c>
      <c r="L519" s="4">
        <v>0.65625</v>
      </c>
      <c r="M519" s="11">
        <f t="shared" si="70"/>
        <v>3.125E-2</v>
      </c>
      <c r="N519" s="11">
        <f t="shared" si="71"/>
        <v>0</v>
      </c>
      <c r="O519" s="11">
        <f t="shared" si="72"/>
        <v>0</v>
      </c>
      <c r="P519" s="11">
        <f t="shared" si="73"/>
        <v>0</v>
      </c>
      <c r="Q519" s="11"/>
      <c r="R519" s="11"/>
      <c r="S519" s="11"/>
      <c r="T519" s="11"/>
      <c r="V519" s="11">
        <f>M519</f>
        <v>3.125E-2</v>
      </c>
      <c r="X519" s="11">
        <f t="shared" si="63"/>
        <v>3.125E-2</v>
      </c>
      <c r="Y519" t="s">
        <v>506</v>
      </c>
    </row>
    <row r="520" spans="1:25" x14ac:dyDescent="0.15">
      <c r="O520" s="11"/>
      <c r="P520" s="11"/>
      <c r="Q520" s="11"/>
      <c r="R520" s="11"/>
      <c r="S520" s="11"/>
      <c r="T520" s="11"/>
      <c r="V520" s="11"/>
      <c r="X520" s="11"/>
    </row>
    <row r="521" spans="1:25" outlineLevel="1" x14ac:dyDescent="0.15">
      <c r="A521" s="3">
        <v>38731</v>
      </c>
      <c r="B521" s="3" t="str">
        <f>VLOOKUP(F521, Aircraft!A$2:C$99, 2, FALSE)</f>
        <v>PA28</v>
      </c>
      <c r="C521" t="str">
        <f>VLOOKUP(F521, Aircraft!A$2:C$99, 3, FALSE)</f>
        <v>S</v>
      </c>
      <c r="D521" t="str">
        <f t="shared" si="64"/>
        <v>S</v>
      </c>
      <c r="E521" t="str">
        <f t="shared" ref="E521:E563" si="74">IF(ISNA(B521), "", B521)</f>
        <v>PA28</v>
      </c>
      <c r="F521" t="s">
        <v>132</v>
      </c>
      <c r="G521" t="s">
        <v>191</v>
      </c>
      <c r="H521" s="2" t="str">
        <f t="shared" si="69"/>
        <v>P1</v>
      </c>
      <c r="I521" t="s">
        <v>250</v>
      </c>
      <c r="J521" t="s">
        <v>250</v>
      </c>
      <c r="K521" s="4">
        <v>0.56736111111111109</v>
      </c>
      <c r="L521" s="4">
        <v>0.60069444444444442</v>
      </c>
      <c r="M521" s="11">
        <f t="shared" si="70"/>
        <v>3.3333333333333326E-2</v>
      </c>
      <c r="N521" s="11">
        <f t="shared" si="71"/>
        <v>0</v>
      </c>
      <c r="O521" s="11">
        <f t="shared" si="72"/>
        <v>0</v>
      </c>
      <c r="P521" s="11">
        <f t="shared" si="73"/>
        <v>0</v>
      </c>
      <c r="Q521" s="11"/>
      <c r="R521" s="11"/>
      <c r="S521" s="11"/>
      <c r="T521" s="11"/>
      <c r="V521" s="11">
        <f>M521</f>
        <v>3.3333333333333326E-2</v>
      </c>
      <c r="X521" s="11">
        <f t="shared" si="63"/>
        <v>3.3333333333333326E-2</v>
      </c>
      <c r="Y521" t="s">
        <v>509</v>
      </c>
    </row>
    <row r="522" spans="1:25" outlineLevel="1" x14ac:dyDescent="0.15">
      <c r="A522" s="3">
        <v>38731</v>
      </c>
      <c r="B522" s="3" t="str">
        <f>VLOOKUP(F522, Aircraft!A$2:C$99, 2, FALSE)</f>
        <v>PA28</v>
      </c>
      <c r="C522" t="str">
        <f>VLOOKUP(F522, Aircraft!A$2:C$99, 3, FALSE)</f>
        <v>S</v>
      </c>
      <c r="D522" t="str">
        <f t="shared" si="64"/>
        <v>S</v>
      </c>
      <c r="E522" t="str">
        <f t="shared" si="74"/>
        <v>PA28</v>
      </c>
      <c r="F522" t="s">
        <v>132</v>
      </c>
      <c r="G522" t="s">
        <v>191</v>
      </c>
      <c r="H522" s="2" t="str">
        <f t="shared" si="69"/>
        <v>P1</v>
      </c>
      <c r="I522" t="s">
        <v>250</v>
      </c>
      <c r="J522" t="s">
        <v>250</v>
      </c>
      <c r="K522" s="4">
        <v>0.5</v>
      </c>
      <c r="L522" s="4">
        <v>0.51388888888888895</v>
      </c>
      <c r="M522" s="11">
        <f t="shared" si="70"/>
        <v>1.3888888888888951E-2</v>
      </c>
      <c r="N522" s="11">
        <f t="shared" si="71"/>
        <v>0</v>
      </c>
      <c r="O522" s="11">
        <f t="shared" si="72"/>
        <v>0</v>
      </c>
      <c r="P522" s="11">
        <f t="shared" si="73"/>
        <v>0</v>
      </c>
      <c r="Q522" s="11"/>
      <c r="R522" s="11"/>
      <c r="S522" s="11"/>
      <c r="T522" s="11"/>
      <c r="V522" s="11">
        <f>M522</f>
        <v>1.3888888888888951E-2</v>
      </c>
      <c r="X522" s="11">
        <f t="shared" si="63"/>
        <v>1.3888888888888951E-2</v>
      </c>
      <c r="Y522" t="s">
        <v>510</v>
      </c>
    </row>
    <row r="523" spans="1:25" outlineLevel="1" x14ac:dyDescent="0.15">
      <c r="A523" s="3">
        <v>38738</v>
      </c>
      <c r="B523" s="3" t="str">
        <f>VLOOKUP(F523, Aircraft!A$2:C$99, 2, FALSE)</f>
        <v>EXTRA</v>
      </c>
      <c r="C523" t="str">
        <f>VLOOKUP(F523, Aircraft!A$2:C$99, 3, FALSE)</f>
        <v>S</v>
      </c>
      <c r="D523" t="str">
        <f t="shared" si="64"/>
        <v>S</v>
      </c>
      <c r="E523" t="str">
        <f t="shared" si="74"/>
        <v>EXTRA</v>
      </c>
      <c r="F523" t="s">
        <v>508</v>
      </c>
      <c r="G523" t="s">
        <v>39</v>
      </c>
      <c r="H523" s="2" t="str">
        <f t="shared" si="69"/>
        <v>PUT</v>
      </c>
      <c r="I523" t="s">
        <v>250</v>
      </c>
      <c r="J523" t="s">
        <v>250</v>
      </c>
      <c r="K523" s="4">
        <v>0.60069444444444442</v>
      </c>
      <c r="L523" s="4">
        <v>0.62847222222222221</v>
      </c>
      <c r="M523" s="11">
        <f t="shared" si="70"/>
        <v>0</v>
      </c>
      <c r="N523" s="11">
        <f t="shared" si="71"/>
        <v>2.777777777777779E-2</v>
      </c>
      <c r="O523" s="11">
        <f t="shared" si="72"/>
        <v>0</v>
      </c>
      <c r="P523" s="11">
        <f t="shared" si="73"/>
        <v>0</v>
      </c>
      <c r="Q523" s="11"/>
      <c r="R523" s="11"/>
      <c r="S523" s="11"/>
      <c r="T523" s="11"/>
      <c r="X523" s="11">
        <f t="shared" si="63"/>
        <v>2.777777777777779E-2</v>
      </c>
    </row>
    <row r="524" spans="1:25" outlineLevel="1" x14ac:dyDescent="0.15">
      <c r="A524" s="3">
        <v>38739</v>
      </c>
      <c r="B524" s="3" t="str">
        <f>VLOOKUP(F524, Aircraft!A$2:C$99, 2, FALSE)</f>
        <v>DHC-1</v>
      </c>
      <c r="C524" t="str">
        <f>VLOOKUP(F524, Aircraft!A$2:C$99, 3, FALSE)</f>
        <v>S</v>
      </c>
      <c r="D524" t="str">
        <f t="shared" si="64"/>
        <v>S</v>
      </c>
      <c r="E524" t="str">
        <f t="shared" si="74"/>
        <v>DHC-1</v>
      </c>
      <c r="F524" t="s">
        <v>38</v>
      </c>
      <c r="G524" t="s">
        <v>191</v>
      </c>
      <c r="H524" s="2" t="str">
        <f t="shared" si="69"/>
        <v>P1</v>
      </c>
      <c r="I524" t="s">
        <v>250</v>
      </c>
      <c r="J524" t="s">
        <v>250</v>
      </c>
      <c r="K524" s="4">
        <v>0.44444444444444442</v>
      </c>
      <c r="L524" s="4">
        <v>0.47222222222222227</v>
      </c>
      <c r="M524" s="11">
        <f t="shared" si="70"/>
        <v>2.7777777777777846E-2</v>
      </c>
      <c r="N524" s="11">
        <f t="shared" si="71"/>
        <v>0</v>
      </c>
      <c r="O524" s="11">
        <f t="shared" si="72"/>
        <v>0</v>
      </c>
      <c r="P524" s="11">
        <f t="shared" si="73"/>
        <v>0</v>
      </c>
      <c r="Q524" s="11"/>
      <c r="R524" s="11"/>
      <c r="S524" s="11"/>
      <c r="T524" s="11"/>
      <c r="V524" s="11">
        <f>M524</f>
        <v>2.7777777777777846E-2</v>
      </c>
      <c r="X524" s="11">
        <f t="shared" si="63"/>
        <v>2.7777777777777846E-2</v>
      </c>
    </row>
    <row r="525" spans="1:25" outlineLevel="1" x14ac:dyDescent="0.15">
      <c r="A525" s="3">
        <v>38745</v>
      </c>
      <c r="B525" s="3" t="str">
        <f>VLOOKUP(F525, Aircraft!A$2:C$99, 2, FALSE)</f>
        <v>PA28</v>
      </c>
      <c r="C525" t="str">
        <f>VLOOKUP(F525, Aircraft!A$2:C$99, 3, FALSE)</f>
        <v>S</v>
      </c>
      <c r="D525" t="str">
        <f t="shared" si="64"/>
        <v>S</v>
      </c>
      <c r="E525" t="str">
        <f t="shared" si="74"/>
        <v>PA28</v>
      </c>
      <c r="F525" t="s">
        <v>132</v>
      </c>
      <c r="G525" t="s">
        <v>191</v>
      </c>
      <c r="H525" s="2" t="str">
        <f t="shared" si="69"/>
        <v>P1</v>
      </c>
      <c r="I525" t="s">
        <v>250</v>
      </c>
      <c r="J525" t="s">
        <v>250</v>
      </c>
      <c r="K525" s="4">
        <v>0.43055555555555558</v>
      </c>
      <c r="L525" s="4">
        <v>0.4513888888888889</v>
      </c>
      <c r="M525" s="11">
        <f t="shared" si="70"/>
        <v>2.0833333333333315E-2</v>
      </c>
      <c r="N525" s="11">
        <f t="shared" si="71"/>
        <v>0</v>
      </c>
      <c r="O525" s="11">
        <f t="shared" si="72"/>
        <v>0</v>
      </c>
      <c r="P525" s="11">
        <f t="shared" si="73"/>
        <v>0</v>
      </c>
      <c r="Q525" s="11"/>
      <c r="R525" s="11"/>
      <c r="S525" s="11"/>
      <c r="T525" s="11"/>
      <c r="V525" s="11">
        <f>M525</f>
        <v>2.0833333333333315E-2</v>
      </c>
      <c r="X525" s="11">
        <f t="shared" si="63"/>
        <v>2.0833333333333315E-2</v>
      </c>
      <c r="Y525" t="s">
        <v>546</v>
      </c>
    </row>
    <row r="526" spans="1:25" outlineLevel="1" x14ac:dyDescent="0.15">
      <c r="A526" s="3">
        <v>38745</v>
      </c>
      <c r="B526" s="3" t="str">
        <f>VLOOKUP(F526, Aircraft!A$2:C$99, 2, FALSE)</f>
        <v>PA28</v>
      </c>
      <c r="C526" t="str">
        <f>VLOOKUP(F526, Aircraft!A$2:C$99, 3, FALSE)</f>
        <v>S</v>
      </c>
      <c r="D526" t="str">
        <f t="shared" si="64"/>
        <v>S</v>
      </c>
      <c r="E526" t="str">
        <f t="shared" si="74"/>
        <v>PA28</v>
      </c>
      <c r="F526" t="s">
        <v>132</v>
      </c>
      <c r="G526" t="s">
        <v>191</v>
      </c>
      <c r="H526" s="2" t="str">
        <f t="shared" si="69"/>
        <v>P1</v>
      </c>
      <c r="I526" t="s">
        <v>250</v>
      </c>
      <c r="J526" t="s">
        <v>250</v>
      </c>
      <c r="K526" s="4">
        <v>0.49513888888888885</v>
      </c>
      <c r="L526" s="4">
        <v>0.54861111111111105</v>
      </c>
      <c r="M526" s="11">
        <f t="shared" si="70"/>
        <v>5.3472222222222199E-2</v>
      </c>
      <c r="N526" s="11">
        <f t="shared" si="71"/>
        <v>0</v>
      </c>
      <c r="O526" s="11">
        <f t="shared" si="72"/>
        <v>0</v>
      </c>
      <c r="P526" s="11">
        <f t="shared" si="73"/>
        <v>0</v>
      </c>
      <c r="Q526" s="11"/>
      <c r="R526" s="11"/>
      <c r="S526" s="11"/>
      <c r="T526" s="11"/>
      <c r="V526" s="11">
        <f>M526</f>
        <v>5.3472222222222199E-2</v>
      </c>
      <c r="X526" s="11">
        <f t="shared" si="63"/>
        <v>5.3472222222222199E-2</v>
      </c>
      <c r="Y526" t="s">
        <v>547</v>
      </c>
    </row>
    <row r="527" spans="1:25" outlineLevel="1" x14ac:dyDescent="0.15">
      <c r="A527" s="3">
        <v>38745</v>
      </c>
      <c r="B527" s="3" t="str">
        <f>VLOOKUP(F527, Aircraft!A$2:C$99, 2, FALSE)</f>
        <v>PA28</v>
      </c>
      <c r="C527" t="str">
        <f>VLOOKUP(F527, Aircraft!A$2:C$99, 3, FALSE)</f>
        <v>S</v>
      </c>
      <c r="D527" t="str">
        <f t="shared" si="64"/>
        <v>S</v>
      </c>
      <c r="E527" t="str">
        <f t="shared" si="74"/>
        <v>PA28</v>
      </c>
      <c r="F527" t="s">
        <v>132</v>
      </c>
      <c r="G527" t="s">
        <v>41</v>
      </c>
      <c r="H527" s="2" t="str">
        <f t="shared" si="69"/>
        <v>PUT</v>
      </c>
      <c r="I527" t="s">
        <v>250</v>
      </c>
      <c r="J527" t="s">
        <v>250</v>
      </c>
      <c r="K527" s="4">
        <v>0.58472222222222225</v>
      </c>
      <c r="L527" s="4">
        <v>0.63888888888888895</v>
      </c>
      <c r="M527" s="11">
        <f t="shared" si="70"/>
        <v>0</v>
      </c>
      <c r="N527" s="11">
        <f t="shared" si="71"/>
        <v>5.4166666666666696E-2</v>
      </c>
      <c r="O527" s="11">
        <f t="shared" si="72"/>
        <v>0</v>
      </c>
      <c r="P527" s="11">
        <f t="shared" si="73"/>
        <v>0</v>
      </c>
      <c r="Q527" s="11"/>
      <c r="R527" s="11"/>
      <c r="S527" s="11"/>
      <c r="T527" s="11"/>
      <c r="X527" s="11">
        <f t="shared" si="63"/>
        <v>5.4166666666666696E-2</v>
      </c>
    </row>
    <row r="528" spans="1:25" outlineLevel="1" x14ac:dyDescent="0.15">
      <c r="A528" s="3">
        <v>38759</v>
      </c>
      <c r="B528" s="3" t="str">
        <f>VLOOKUP(F528, Aircraft!A$2:C$99, 2, FALSE)</f>
        <v>PA28</v>
      </c>
      <c r="C528" t="str">
        <f>VLOOKUP(F528, Aircraft!A$2:C$99, 3, FALSE)</f>
        <v>S</v>
      </c>
      <c r="D528" t="str">
        <f t="shared" si="64"/>
        <v>S</v>
      </c>
      <c r="E528" t="str">
        <f t="shared" si="74"/>
        <v>PA28</v>
      </c>
      <c r="F528" t="s">
        <v>673</v>
      </c>
      <c r="G528" t="s">
        <v>191</v>
      </c>
      <c r="H528" s="2" t="str">
        <f t="shared" si="69"/>
        <v>P1</v>
      </c>
      <c r="I528" t="s">
        <v>250</v>
      </c>
      <c r="J528" t="s">
        <v>250</v>
      </c>
      <c r="K528" s="4">
        <v>0.41666666666666669</v>
      </c>
      <c r="L528" s="4">
        <v>0.44097222222222227</v>
      </c>
      <c r="M528" s="11">
        <f t="shared" si="70"/>
        <v>2.430555555555558E-2</v>
      </c>
      <c r="N528" s="11">
        <f t="shared" si="71"/>
        <v>0</v>
      </c>
      <c r="O528" s="11">
        <f t="shared" si="72"/>
        <v>0</v>
      </c>
      <c r="P528" s="11">
        <f t="shared" si="73"/>
        <v>0</v>
      </c>
      <c r="Q528" s="11"/>
      <c r="R528" s="11"/>
      <c r="S528" s="11"/>
      <c r="T528" s="11"/>
      <c r="V528" s="11">
        <f>M528</f>
        <v>2.430555555555558E-2</v>
      </c>
      <c r="X528" s="11">
        <f t="shared" ref="X528:X579" si="75">SUM(M528:S528)</f>
        <v>2.430555555555558E-2</v>
      </c>
      <c r="Y528" t="s">
        <v>548</v>
      </c>
    </row>
    <row r="529" spans="1:25" outlineLevel="1" x14ac:dyDescent="0.15">
      <c r="A529" s="3">
        <v>38759</v>
      </c>
      <c r="B529" s="3" t="str">
        <f>VLOOKUP(F529, Aircraft!A$2:C$99, 2, FALSE)</f>
        <v>PA28</v>
      </c>
      <c r="C529" t="str">
        <f>VLOOKUP(F529, Aircraft!A$2:C$99, 3, FALSE)</f>
        <v>S</v>
      </c>
      <c r="D529" t="str">
        <f t="shared" si="64"/>
        <v>S</v>
      </c>
      <c r="E529" t="str">
        <f t="shared" si="74"/>
        <v>PA28</v>
      </c>
      <c r="F529" t="s">
        <v>132</v>
      </c>
      <c r="G529" t="s">
        <v>191</v>
      </c>
      <c r="H529" s="2" t="str">
        <f t="shared" si="69"/>
        <v>P1</v>
      </c>
      <c r="I529" t="s">
        <v>250</v>
      </c>
      <c r="J529" t="s">
        <v>549</v>
      </c>
      <c r="K529" s="4">
        <v>0.49652777777777773</v>
      </c>
      <c r="L529" s="4">
        <v>0.52083333333333337</v>
      </c>
      <c r="M529" s="11">
        <f t="shared" si="70"/>
        <v>2.4305555555555636E-2</v>
      </c>
      <c r="N529" s="11">
        <f t="shared" si="71"/>
        <v>0</v>
      </c>
      <c r="O529" s="11">
        <f t="shared" si="72"/>
        <v>0</v>
      </c>
      <c r="P529" s="11">
        <f t="shared" si="73"/>
        <v>0</v>
      </c>
      <c r="Q529" s="11"/>
      <c r="R529" s="11"/>
      <c r="S529" s="11"/>
      <c r="T529" s="11"/>
      <c r="V529" s="11">
        <f>M529</f>
        <v>2.4305555555555636E-2</v>
      </c>
      <c r="X529" s="11">
        <f t="shared" si="75"/>
        <v>2.4305555555555636E-2</v>
      </c>
      <c r="Y529" t="s">
        <v>136</v>
      </c>
    </row>
    <row r="530" spans="1:25" outlineLevel="1" x14ac:dyDescent="0.15">
      <c r="A530" s="3">
        <v>38759</v>
      </c>
      <c r="B530" s="3" t="str">
        <f>VLOOKUP(F530, Aircraft!A$2:C$99, 2, FALSE)</f>
        <v>PA28</v>
      </c>
      <c r="C530" t="str">
        <f>VLOOKUP(F530, Aircraft!A$2:C$99, 3, FALSE)</f>
        <v>S</v>
      </c>
      <c r="D530" t="str">
        <f t="shared" si="64"/>
        <v>S</v>
      </c>
      <c r="E530" t="str">
        <f t="shared" si="74"/>
        <v>PA28</v>
      </c>
      <c r="F530" t="s">
        <v>132</v>
      </c>
      <c r="G530" t="s">
        <v>191</v>
      </c>
      <c r="H530" s="2" t="str">
        <f t="shared" si="69"/>
        <v>P1</v>
      </c>
      <c r="I530" t="s">
        <v>549</v>
      </c>
      <c r="J530" t="s">
        <v>250</v>
      </c>
      <c r="K530" s="4">
        <v>0.53125</v>
      </c>
      <c r="L530" s="4">
        <v>0.54861111111111105</v>
      </c>
      <c r="M530" s="11">
        <f t="shared" si="70"/>
        <v>1.7361111111111049E-2</v>
      </c>
      <c r="N530" s="11">
        <f t="shared" si="71"/>
        <v>0</v>
      </c>
      <c r="O530" s="11">
        <f t="shared" si="72"/>
        <v>0</v>
      </c>
      <c r="P530" s="11">
        <f t="shared" si="73"/>
        <v>0</v>
      </c>
      <c r="Q530" s="11"/>
      <c r="R530" s="11"/>
      <c r="S530" s="11"/>
      <c r="T530" s="11"/>
      <c r="V530" s="11">
        <f>M530</f>
        <v>1.7361111111111049E-2</v>
      </c>
      <c r="X530" s="11">
        <f t="shared" si="75"/>
        <v>1.7361111111111049E-2</v>
      </c>
      <c r="Y530" t="s">
        <v>550</v>
      </c>
    </row>
    <row r="531" spans="1:25" outlineLevel="1" x14ac:dyDescent="0.15">
      <c r="A531" s="3">
        <v>38759</v>
      </c>
      <c r="B531" s="3" t="str">
        <f>VLOOKUP(F531, Aircraft!A$2:C$99, 2, FALSE)</f>
        <v>PA28</v>
      </c>
      <c r="C531" t="str">
        <f>VLOOKUP(F531, Aircraft!A$2:C$99, 3, FALSE)</f>
        <v>S</v>
      </c>
      <c r="D531" t="str">
        <f t="shared" si="64"/>
        <v>S</v>
      </c>
      <c r="E531" t="str">
        <f t="shared" si="74"/>
        <v>PA28</v>
      </c>
      <c r="F531" t="s">
        <v>132</v>
      </c>
      <c r="G531" t="s">
        <v>191</v>
      </c>
      <c r="H531" s="2" t="str">
        <f t="shared" si="69"/>
        <v>P1</v>
      </c>
      <c r="I531" t="s">
        <v>250</v>
      </c>
      <c r="J531" t="s">
        <v>250</v>
      </c>
      <c r="K531" s="4">
        <v>0.60416666666666663</v>
      </c>
      <c r="L531" s="4">
        <v>0.64583333333333337</v>
      </c>
      <c r="M531" s="11">
        <f t="shared" si="70"/>
        <v>4.1666666666666741E-2</v>
      </c>
      <c r="N531" s="11">
        <f t="shared" si="71"/>
        <v>0</v>
      </c>
      <c r="O531" s="11">
        <f t="shared" si="72"/>
        <v>0</v>
      </c>
      <c r="P531" s="11">
        <f t="shared" si="73"/>
        <v>0</v>
      </c>
      <c r="Q531" s="11"/>
      <c r="R531" s="11"/>
      <c r="S531" s="11"/>
      <c r="T531" s="11"/>
      <c r="V531" s="11">
        <f>M531</f>
        <v>4.1666666666666741E-2</v>
      </c>
      <c r="X531" s="11">
        <f t="shared" si="75"/>
        <v>4.1666666666666741E-2</v>
      </c>
      <c r="Y531" t="s">
        <v>551</v>
      </c>
    </row>
    <row r="532" spans="1:25" outlineLevel="1" x14ac:dyDescent="0.15">
      <c r="A532" s="3">
        <v>38759</v>
      </c>
      <c r="B532" s="3" t="str">
        <f>VLOOKUP(F532, Aircraft!A$2:C$99, 2, FALSE)</f>
        <v>DHC-1</v>
      </c>
      <c r="C532" t="str">
        <f>VLOOKUP(F532, Aircraft!A$2:C$99, 3, FALSE)</f>
        <v>S</v>
      </c>
      <c r="D532" t="str">
        <f t="shared" si="64"/>
        <v>S</v>
      </c>
      <c r="E532" t="str">
        <f t="shared" si="74"/>
        <v>DHC-1</v>
      </c>
      <c r="F532" t="s">
        <v>38</v>
      </c>
      <c r="G532" t="s">
        <v>191</v>
      </c>
      <c r="H532" s="2" t="str">
        <f t="shared" si="69"/>
        <v>P1</v>
      </c>
      <c r="I532" t="s">
        <v>250</v>
      </c>
      <c r="J532" t="s">
        <v>250</v>
      </c>
      <c r="K532" s="4">
        <v>0.67708333333333337</v>
      </c>
      <c r="L532" s="4">
        <v>0.71180555555555547</v>
      </c>
      <c r="M532" s="11">
        <f t="shared" si="70"/>
        <v>3.4722222222222099E-2</v>
      </c>
      <c r="N532" s="11">
        <f t="shared" si="71"/>
        <v>0</v>
      </c>
      <c r="O532" s="11">
        <f t="shared" si="72"/>
        <v>0</v>
      </c>
      <c r="P532" s="11">
        <f t="shared" si="73"/>
        <v>0</v>
      </c>
      <c r="Q532" s="11"/>
      <c r="R532" s="11"/>
      <c r="S532" s="11"/>
      <c r="T532" s="11"/>
      <c r="X532" s="11">
        <f t="shared" si="75"/>
        <v>3.4722222222222099E-2</v>
      </c>
      <c r="Y532" t="s">
        <v>352</v>
      </c>
    </row>
    <row r="533" spans="1:25" outlineLevel="1" x14ac:dyDescent="0.15">
      <c r="A533" s="3">
        <v>38773</v>
      </c>
      <c r="B533" s="3" t="str">
        <f>VLOOKUP(F533, Aircraft!A$2:C$99, 2, FALSE)</f>
        <v>PA28</v>
      </c>
      <c r="C533" t="str">
        <f>VLOOKUP(F533, Aircraft!A$2:C$99, 3, FALSE)</f>
        <v>S</v>
      </c>
      <c r="D533" t="str">
        <f t="shared" si="64"/>
        <v>S</v>
      </c>
      <c r="E533" t="str">
        <f>IF(ISNA(B533), "", B533)</f>
        <v>PA28</v>
      </c>
      <c r="F533" t="s">
        <v>132</v>
      </c>
      <c r="G533" t="s">
        <v>191</v>
      </c>
      <c r="H533" s="2" t="str">
        <f t="shared" si="69"/>
        <v>P1</v>
      </c>
      <c r="I533" t="s">
        <v>250</v>
      </c>
      <c r="J533" t="s">
        <v>549</v>
      </c>
      <c r="K533" s="4">
        <v>0.36805555555555558</v>
      </c>
      <c r="L533" s="4">
        <v>0.3888888888888889</v>
      </c>
      <c r="M533" s="11">
        <f>IF(AND(H533="P1", D533="S"), L533-K533, 0)</f>
        <v>2.0833333333333315E-2</v>
      </c>
      <c r="N533" s="11">
        <f>IF(AND(H533="PUT", D533="S"), L533-K533, 0)</f>
        <v>0</v>
      </c>
      <c r="O533" s="11">
        <f>IF(AND(H533="P1", D533="T"), L533-K533, 0)</f>
        <v>0</v>
      </c>
      <c r="P533" s="11">
        <f>IF(AND(H533="PUT", D533="T"), L533-K533, 0)</f>
        <v>0</v>
      </c>
      <c r="Q533" s="11"/>
      <c r="R533" s="11"/>
      <c r="S533" s="11"/>
      <c r="T533" s="11"/>
      <c r="V533" s="11">
        <f>M533</f>
        <v>2.0833333333333315E-2</v>
      </c>
      <c r="X533" s="11">
        <f>SUM(M533:S533)</f>
        <v>2.0833333333333315E-2</v>
      </c>
      <c r="Y533" t="s">
        <v>431</v>
      </c>
    </row>
    <row r="534" spans="1:25" outlineLevel="1" x14ac:dyDescent="0.15">
      <c r="A534" s="3">
        <v>38773</v>
      </c>
      <c r="B534" s="3" t="str">
        <f>VLOOKUP(F534, Aircraft!A$2:C$99, 2, FALSE)</f>
        <v>PA28</v>
      </c>
      <c r="C534" t="str">
        <f>VLOOKUP(F534, Aircraft!A$2:C$99, 3, FALSE)</f>
        <v>S</v>
      </c>
      <c r="D534" t="str">
        <f>IF(ISNA(C534), "", C534)</f>
        <v>S</v>
      </c>
      <c r="E534" t="str">
        <f>IF(ISNA(B534), "", B534)</f>
        <v>PA28</v>
      </c>
      <c r="F534" t="s">
        <v>132</v>
      </c>
      <c r="G534" t="s">
        <v>191</v>
      </c>
      <c r="H534" s="2" t="str">
        <f t="shared" si="69"/>
        <v>P1</v>
      </c>
      <c r="I534" t="s">
        <v>549</v>
      </c>
      <c r="J534" t="s">
        <v>250</v>
      </c>
      <c r="K534" s="4">
        <v>0.3888888888888889</v>
      </c>
      <c r="L534" s="4">
        <v>0.40833333333333338</v>
      </c>
      <c r="M534" s="11">
        <f>IF(AND(H534="P1", D534="S"), L534-K534, 0)</f>
        <v>1.9444444444444486E-2</v>
      </c>
      <c r="N534" s="11">
        <f>IF(AND(H534="PUT", D534="S"), L534-K534, 0)</f>
        <v>0</v>
      </c>
      <c r="O534" s="11">
        <f>IF(AND(H534="P1", D534="T"), L534-K534, 0)</f>
        <v>0</v>
      </c>
      <c r="P534" s="11">
        <f>IF(AND(H534="PUT", D534="T"), L534-K534, 0)</f>
        <v>0</v>
      </c>
      <c r="Q534" s="11"/>
      <c r="R534" s="11"/>
      <c r="S534" s="11"/>
      <c r="T534" s="11"/>
      <c r="V534" s="11">
        <f>M534</f>
        <v>1.9444444444444486E-2</v>
      </c>
      <c r="X534" s="11">
        <f>SUM(M534:S534)</f>
        <v>1.9444444444444486E-2</v>
      </c>
      <c r="Y534" t="s">
        <v>550</v>
      </c>
    </row>
    <row r="535" spans="1:25" outlineLevel="1" x14ac:dyDescent="0.15">
      <c r="A535" s="3">
        <v>38773</v>
      </c>
      <c r="B535" s="3" t="str">
        <f>VLOOKUP(F535, Aircraft!A$2:C$99, 2, FALSE)</f>
        <v>DHC-1</v>
      </c>
      <c r="C535" t="str">
        <f>VLOOKUP(F535, Aircraft!A$2:C$99, 3, FALSE)</f>
        <v>S</v>
      </c>
      <c r="D535" t="str">
        <f t="shared" si="64"/>
        <v>S</v>
      </c>
      <c r="E535" t="str">
        <f>IF(ISNA(B535), "", B535)</f>
        <v>DHC-1</v>
      </c>
      <c r="F535" t="s">
        <v>38</v>
      </c>
      <c r="G535" t="s">
        <v>191</v>
      </c>
      <c r="H535" s="2" t="str">
        <f t="shared" si="69"/>
        <v>P1</v>
      </c>
      <c r="I535" t="s">
        <v>250</v>
      </c>
      <c r="J535" t="s">
        <v>250</v>
      </c>
      <c r="K535" s="4">
        <v>0.45833333333333331</v>
      </c>
      <c r="L535" s="4">
        <v>0.49305555555555558</v>
      </c>
      <c r="M535" s="11">
        <f>IF(AND(H535="P1", D535="S"), L535-K535, 0)</f>
        <v>3.4722222222222265E-2</v>
      </c>
      <c r="N535" s="11">
        <f>IF(AND(H535="PUT", D535="S"), L535-K535, 0)</f>
        <v>0</v>
      </c>
      <c r="O535" s="11">
        <f>IF(AND(H535="P1", D535="T"), L535-K535, 0)</f>
        <v>0</v>
      </c>
      <c r="P535" s="11">
        <f>IF(AND(H535="PUT", D535="T"), L535-K535, 0)</f>
        <v>0</v>
      </c>
      <c r="Q535" s="11"/>
      <c r="R535" s="11"/>
      <c r="S535" s="11"/>
      <c r="T535" s="11"/>
      <c r="X535" s="11">
        <f>SUM(M535:S535)</f>
        <v>3.4722222222222265E-2</v>
      </c>
      <c r="Y535" t="s">
        <v>352</v>
      </c>
    </row>
    <row r="536" spans="1:25" outlineLevel="1" x14ac:dyDescent="0.15">
      <c r="A536" s="3">
        <v>38780</v>
      </c>
      <c r="B536" s="3" t="str">
        <f>VLOOKUP(F536, Aircraft!A$2:C$99, 2, FALSE)</f>
        <v>PA28</v>
      </c>
      <c r="C536" t="str">
        <f>VLOOKUP(F536, Aircraft!A$2:C$99, 3, FALSE)</f>
        <v>S</v>
      </c>
      <c r="D536" t="str">
        <f t="shared" ref="D536:D601" si="76">IF(ISNA(C536), "", C536)</f>
        <v>S</v>
      </c>
      <c r="E536" t="str">
        <f t="shared" si="74"/>
        <v>PA28</v>
      </c>
      <c r="F536" t="s">
        <v>132</v>
      </c>
      <c r="G536" t="s">
        <v>191</v>
      </c>
      <c r="H536" s="2" t="str">
        <f t="shared" si="69"/>
        <v>P1</v>
      </c>
      <c r="I536" t="s">
        <v>250</v>
      </c>
      <c r="J536" t="s">
        <v>250</v>
      </c>
      <c r="K536" s="4">
        <v>0.62152777777777779</v>
      </c>
      <c r="L536" s="4">
        <v>0.64930555555555558</v>
      </c>
      <c r="M536" s="11">
        <f t="shared" si="70"/>
        <v>2.777777777777779E-2</v>
      </c>
      <c r="N536" s="11">
        <f t="shared" si="71"/>
        <v>0</v>
      </c>
      <c r="O536" s="11">
        <f t="shared" si="72"/>
        <v>0</v>
      </c>
      <c r="P536" s="11">
        <f t="shared" si="73"/>
        <v>0</v>
      </c>
      <c r="Q536" s="11"/>
      <c r="R536" s="11"/>
      <c r="S536" s="11"/>
      <c r="T536" s="11"/>
      <c r="V536" s="11">
        <f>M536</f>
        <v>2.777777777777779E-2</v>
      </c>
      <c r="X536" s="11">
        <f t="shared" si="75"/>
        <v>2.777777777777779E-2</v>
      </c>
      <c r="Y536" t="s">
        <v>353</v>
      </c>
    </row>
    <row r="537" spans="1:25" outlineLevel="1" x14ac:dyDescent="0.15">
      <c r="A537" s="3">
        <v>38780</v>
      </c>
      <c r="B537" s="3" t="str">
        <f>VLOOKUP(F537, Aircraft!A$2:C$99, 2, FALSE)</f>
        <v>DHC-1</v>
      </c>
      <c r="C537" t="str">
        <f>VLOOKUP(F537, Aircraft!A$2:C$99, 3, FALSE)</f>
        <v>S</v>
      </c>
      <c r="D537" t="str">
        <f t="shared" si="76"/>
        <v>S</v>
      </c>
      <c r="E537" t="str">
        <f t="shared" si="74"/>
        <v>DHC-1</v>
      </c>
      <c r="F537" t="s">
        <v>38</v>
      </c>
      <c r="G537" t="s">
        <v>191</v>
      </c>
      <c r="H537" s="2" t="str">
        <f t="shared" si="69"/>
        <v>P1</v>
      </c>
      <c r="I537" t="s">
        <v>250</v>
      </c>
      <c r="J537" t="s">
        <v>250</v>
      </c>
      <c r="K537" s="4">
        <v>0.6875</v>
      </c>
      <c r="L537" s="4">
        <v>0.72569444444444453</v>
      </c>
      <c r="M537" s="11">
        <f t="shared" si="70"/>
        <v>3.8194444444444531E-2</v>
      </c>
      <c r="N537" s="11">
        <f t="shared" si="71"/>
        <v>0</v>
      </c>
      <c r="O537" s="11">
        <f t="shared" si="72"/>
        <v>0</v>
      </c>
      <c r="P537" s="11">
        <f t="shared" si="73"/>
        <v>0</v>
      </c>
      <c r="Q537" s="11"/>
      <c r="R537" s="11"/>
      <c r="S537" s="11"/>
      <c r="T537" s="11"/>
      <c r="X537" s="11">
        <f t="shared" si="75"/>
        <v>3.8194444444444531E-2</v>
      </c>
      <c r="Y537" t="s">
        <v>352</v>
      </c>
    </row>
    <row r="538" spans="1:25" outlineLevel="1" x14ac:dyDescent="0.15">
      <c r="A538" s="3">
        <v>38781</v>
      </c>
      <c r="B538" s="3" t="str">
        <f>VLOOKUP(F538, Aircraft!A$2:C$99, 2, FALSE)</f>
        <v>BE76</v>
      </c>
      <c r="C538" t="str">
        <f>VLOOKUP(F538, Aircraft!A$2:C$99, 3, FALSE)</f>
        <v>T</v>
      </c>
      <c r="D538" t="str">
        <f t="shared" si="76"/>
        <v>T</v>
      </c>
      <c r="E538" t="str">
        <f t="shared" si="74"/>
        <v>BE76</v>
      </c>
      <c r="F538" t="s">
        <v>847</v>
      </c>
      <c r="G538" t="s">
        <v>652</v>
      </c>
      <c r="H538" s="2" t="str">
        <f t="shared" si="69"/>
        <v>PUT</v>
      </c>
      <c r="I538" t="s">
        <v>250</v>
      </c>
      <c r="J538" t="s">
        <v>693</v>
      </c>
      <c r="K538" s="4">
        <v>0.6875</v>
      </c>
      <c r="L538" s="4">
        <v>0.71527777777777779</v>
      </c>
      <c r="M538" s="11">
        <f t="shared" si="70"/>
        <v>0</v>
      </c>
      <c r="N538" s="11">
        <f t="shared" si="71"/>
        <v>0</v>
      </c>
      <c r="O538" s="11">
        <f t="shared" si="72"/>
        <v>0</v>
      </c>
      <c r="P538" s="11">
        <f t="shared" si="73"/>
        <v>2.777777777777779E-2</v>
      </c>
      <c r="Q538" s="11"/>
      <c r="R538" s="11"/>
      <c r="S538" s="11"/>
      <c r="T538" s="11"/>
      <c r="X538" s="11">
        <f t="shared" si="75"/>
        <v>2.777777777777779E-2</v>
      </c>
      <c r="Y538" t="s">
        <v>47</v>
      </c>
    </row>
    <row r="539" spans="1:25" outlineLevel="1" x14ac:dyDescent="0.15">
      <c r="A539" s="3">
        <v>38781</v>
      </c>
      <c r="B539" s="3" t="str">
        <f>VLOOKUP(F539, Aircraft!A$2:C$99, 2, FALSE)</f>
        <v>BE76</v>
      </c>
      <c r="C539" t="str">
        <f>VLOOKUP(F539, Aircraft!A$2:C$99, 3, FALSE)</f>
        <v>T</v>
      </c>
      <c r="D539" t="str">
        <f t="shared" si="76"/>
        <v>T</v>
      </c>
      <c r="E539" t="str">
        <f t="shared" si="74"/>
        <v>BE76</v>
      </c>
      <c r="F539" t="s">
        <v>847</v>
      </c>
      <c r="G539" t="s">
        <v>652</v>
      </c>
      <c r="H539" s="2" t="str">
        <f t="shared" si="69"/>
        <v>PUT</v>
      </c>
      <c r="I539" t="s">
        <v>693</v>
      </c>
      <c r="J539" t="s">
        <v>250</v>
      </c>
      <c r="K539" s="4">
        <v>0.72222222222222221</v>
      </c>
      <c r="L539" s="4">
        <v>0.74652777777777779</v>
      </c>
      <c r="M539" s="11">
        <f t="shared" si="70"/>
        <v>0</v>
      </c>
      <c r="N539" s="11">
        <f t="shared" si="71"/>
        <v>0</v>
      </c>
      <c r="O539" s="11">
        <f t="shared" si="72"/>
        <v>0</v>
      </c>
      <c r="P539" s="11">
        <f t="shared" si="73"/>
        <v>2.430555555555558E-2</v>
      </c>
      <c r="Q539" s="11"/>
      <c r="R539" s="11"/>
      <c r="S539" s="11"/>
      <c r="T539" s="11"/>
      <c r="X539" s="11">
        <f t="shared" si="75"/>
        <v>2.430555555555558E-2</v>
      </c>
      <c r="Y539" t="s">
        <v>357</v>
      </c>
    </row>
    <row r="540" spans="1:25" outlineLevel="1" x14ac:dyDescent="0.15">
      <c r="A540" s="3">
        <v>38812</v>
      </c>
      <c r="B540" s="3" t="str">
        <f>VLOOKUP(F540, Aircraft!A$2:C$99, 2, FALSE)</f>
        <v>BE76</v>
      </c>
      <c r="C540" t="str">
        <f>VLOOKUP(F540, Aircraft!A$2:C$99, 3, FALSE)</f>
        <v>T</v>
      </c>
      <c r="D540" t="str">
        <f t="shared" si="76"/>
        <v>T</v>
      </c>
      <c r="E540" t="str">
        <f t="shared" si="74"/>
        <v>BE76</v>
      </c>
      <c r="F540" t="s">
        <v>847</v>
      </c>
      <c r="G540" t="s">
        <v>191</v>
      </c>
      <c r="H540" s="2" t="str">
        <f t="shared" si="69"/>
        <v>P1</v>
      </c>
      <c r="I540" t="s">
        <v>250</v>
      </c>
      <c r="J540" t="s">
        <v>693</v>
      </c>
      <c r="M540" s="11">
        <f t="shared" si="70"/>
        <v>0</v>
      </c>
      <c r="N540" s="11">
        <f t="shared" si="71"/>
        <v>0</v>
      </c>
      <c r="O540" s="11">
        <f t="shared" si="72"/>
        <v>0</v>
      </c>
      <c r="P540" s="11">
        <f t="shared" si="73"/>
        <v>0</v>
      </c>
      <c r="Q540" s="11"/>
      <c r="R540" s="11"/>
      <c r="S540" s="11"/>
      <c r="T540" s="11"/>
      <c r="X540" s="11">
        <f t="shared" si="75"/>
        <v>0</v>
      </c>
      <c r="Y540" t="s">
        <v>358</v>
      </c>
    </row>
    <row r="541" spans="1:25" outlineLevel="1" x14ac:dyDescent="0.15">
      <c r="A541" s="3">
        <v>38812</v>
      </c>
      <c r="B541" s="3" t="str">
        <f>VLOOKUP(F541, Aircraft!A$2:C$99, 2, FALSE)</f>
        <v>BE76</v>
      </c>
      <c r="C541" t="str">
        <f>VLOOKUP(F541, Aircraft!A$2:C$99, 3, FALSE)</f>
        <v>T</v>
      </c>
      <c r="D541" t="str">
        <f t="shared" si="76"/>
        <v>T</v>
      </c>
      <c r="E541" t="str">
        <f t="shared" si="74"/>
        <v>BE76</v>
      </c>
      <c r="F541" t="s">
        <v>847</v>
      </c>
      <c r="G541" t="s">
        <v>191</v>
      </c>
      <c r="H541" s="2" t="str">
        <f t="shared" si="69"/>
        <v>P1</v>
      </c>
      <c r="I541" t="s">
        <v>693</v>
      </c>
      <c r="J541" t="s">
        <v>250</v>
      </c>
      <c r="M541" s="11">
        <f t="shared" si="70"/>
        <v>0</v>
      </c>
      <c r="N541" s="11">
        <f t="shared" si="71"/>
        <v>0</v>
      </c>
      <c r="O541" s="11">
        <f t="shared" si="72"/>
        <v>0</v>
      </c>
      <c r="P541" s="11">
        <f t="shared" si="73"/>
        <v>0</v>
      </c>
      <c r="Q541" s="11"/>
      <c r="R541" s="11"/>
      <c r="S541" s="11"/>
      <c r="T541" s="11"/>
      <c r="X541" s="11">
        <f t="shared" si="75"/>
        <v>0</v>
      </c>
      <c r="Y541" t="s">
        <v>358</v>
      </c>
    </row>
    <row r="542" spans="1:25" outlineLevel="1" x14ac:dyDescent="0.15">
      <c r="A542" s="3">
        <v>38815</v>
      </c>
      <c r="B542" s="3" t="str">
        <f>VLOOKUP(F542, Aircraft!A$2:C$99, 2, FALSE)</f>
        <v>PA28</v>
      </c>
      <c r="C542" t="str">
        <f>VLOOKUP(F542, Aircraft!A$2:C$99, 3, FALSE)</f>
        <v>S</v>
      </c>
      <c r="D542" t="str">
        <f t="shared" si="76"/>
        <v>S</v>
      </c>
      <c r="E542" t="str">
        <f t="shared" si="74"/>
        <v>PA28</v>
      </c>
      <c r="F542" t="s">
        <v>132</v>
      </c>
      <c r="G542" t="s">
        <v>191</v>
      </c>
      <c r="H542" s="2" t="str">
        <f t="shared" si="69"/>
        <v>P1</v>
      </c>
      <c r="I542" t="s">
        <v>250</v>
      </c>
      <c r="J542" t="s">
        <v>250</v>
      </c>
      <c r="K542" s="4">
        <v>0.44444444444444442</v>
      </c>
      <c r="L542" s="4">
        <v>0.5</v>
      </c>
      <c r="M542" s="11">
        <f t="shared" si="70"/>
        <v>5.555555555555558E-2</v>
      </c>
      <c r="N542" s="11">
        <f t="shared" si="71"/>
        <v>0</v>
      </c>
      <c r="O542" s="11">
        <f t="shared" si="72"/>
        <v>0</v>
      </c>
      <c r="P542" s="11">
        <f t="shared" si="73"/>
        <v>0</v>
      </c>
      <c r="Q542" s="11"/>
      <c r="R542" s="11"/>
      <c r="S542" s="11"/>
      <c r="T542" s="11"/>
      <c r="V542" s="11">
        <f>M542</f>
        <v>5.555555555555558E-2</v>
      </c>
      <c r="X542" s="11">
        <f t="shared" si="75"/>
        <v>5.555555555555558E-2</v>
      </c>
      <c r="Y542" t="s">
        <v>360</v>
      </c>
    </row>
    <row r="543" spans="1:25" outlineLevel="1" x14ac:dyDescent="0.15">
      <c r="A543" s="3">
        <v>38815</v>
      </c>
      <c r="B543" s="3" t="str">
        <f>VLOOKUP(F543, Aircraft!A$2:C$99, 2, FALSE)</f>
        <v>PA28</v>
      </c>
      <c r="C543" t="str">
        <f>VLOOKUP(F543, Aircraft!A$2:C$99, 3, FALSE)</f>
        <v>S</v>
      </c>
      <c r="D543" t="str">
        <f t="shared" si="76"/>
        <v>S</v>
      </c>
      <c r="E543" t="str">
        <f t="shared" si="74"/>
        <v>PA28</v>
      </c>
      <c r="F543" t="s">
        <v>132</v>
      </c>
      <c r="G543" t="s">
        <v>359</v>
      </c>
      <c r="H543" s="2" t="str">
        <f t="shared" si="69"/>
        <v>PUT</v>
      </c>
      <c r="I543" t="s">
        <v>250</v>
      </c>
      <c r="J543" t="s">
        <v>250</v>
      </c>
      <c r="K543" s="4">
        <v>0.64930555555555558</v>
      </c>
      <c r="L543" s="4">
        <v>0.69097222222222221</v>
      </c>
      <c r="M543" s="11">
        <f t="shared" si="70"/>
        <v>0</v>
      </c>
      <c r="N543" s="11">
        <f t="shared" si="71"/>
        <v>4.166666666666663E-2</v>
      </c>
      <c r="O543" s="11">
        <f t="shared" si="72"/>
        <v>0</v>
      </c>
      <c r="P543" s="11">
        <f t="shared" si="73"/>
        <v>0</v>
      </c>
      <c r="Q543" s="11"/>
      <c r="R543" s="11"/>
      <c r="S543" s="11"/>
      <c r="T543" s="11"/>
      <c r="X543" s="11">
        <f t="shared" si="75"/>
        <v>4.166666666666663E-2</v>
      </c>
      <c r="Y543" t="s">
        <v>361</v>
      </c>
    </row>
    <row r="544" spans="1:25" outlineLevel="1" x14ac:dyDescent="0.15">
      <c r="A544" s="3">
        <v>38821</v>
      </c>
      <c r="B544" s="3" t="str">
        <f>VLOOKUP(F544, Aircraft!A$2:C$99, 2, FALSE)</f>
        <v>DHC-1</v>
      </c>
      <c r="C544" t="str">
        <f>VLOOKUP(F544, Aircraft!A$2:C$99, 3, FALSE)</f>
        <v>S</v>
      </c>
      <c r="D544" t="str">
        <f t="shared" si="76"/>
        <v>S</v>
      </c>
      <c r="E544" t="str">
        <f t="shared" si="74"/>
        <v>DHC-1</v>
      </c>
      <c r="F544" t="s">
        <v>38</v>
      </c>
      <c r="G544" t="s">
        <v>191</v>
      </c>
      <c r="H544" s="2" t="str">
        <f t="shared" si="69"/>
        <v>P1</v>
      </c>
      <c r="I544" t="s">
        <v>250</v>
      </c>
      <c r="J544" t="s">
        <v>250</v>
      </c>
      <c r="K544" s="4">
        <v>0.59722222222222221</v>
      </c>
      <c r="L544" s="4">
        <v>0.63194444444444442</v>
      </c>
      <c r="M544" s="11">
        <f t="shared" si="70"/>
        <v>3.472222222222221E-2</v>
      </c>
      <c r="N544" s="11">
        <f t="shared" si="71"/>
        <v>0</v>
      </c>
      <c r="O544" s="11">
        <f t="shared" si="72"/>
        <v>0</v>
      </c>
      <c r="P544" s="11">
        <f t="shared" si="73"/>
        <v>0</v>
      </c>
      <c r="Q544" s="11"/>
      <c r="R544" s="11"/>
      <c r="S544" s="11"/>
      <c r="T544" s="11"/>
      <c r="X544" s="11">
        <f t="shared" si="75"/>
        <v>3.472222222222221E-2</v>
      </c>
    </row>
    <row r="545" spans="1:25" outlineLevel="1" x14ac:dyDescent="0.15">
      <c r="A545" s="3">
        <v>38823</v>
      </c>
      <c r="B545" s="3" t="str">
        <f>VLOOKUP(F545, Aircraft!A$2:C$99, 2, FALSE)</f>
        <v>DHC-1</v>
      </c>
      <c r="C545" t="str">
        <f>VLOOKUP(F545, Aircraft!A$2:C$99, 3, FALSE)</f>
        <v>S</v>
      </c>
      <c r="D545" t="str">
        <f t="shared" si="76"/>
        <v>S</v>
      </c>
      <c r="E545" t="str">
        <f t="shared" si="74"/>
        <v>DHC-1</v>
      </c>
      <c r="F545" t="s">
        <v>38</v>
      </c>
      <c r="G545" t="s">
        <v>191</v>
      </c>
      <c r="H545" s="2" t="str">
        <f t="shared" si="69"/>
        <v>P1</v>
      </c>
      <c r="I545" t="s">
        <v>250</v>
      </c>
      <c r="J545" t="s">
        <v>250</v>
      </c>
      <c r="K545" s="4">
        <v>0.52083333333333337</v>
      </c>
      <c r="L545" s="4">
        <v>0.54513888888888895</v>
      </c>
      <c r="M545" s="11">
        <f t="shared" si="70"/>
        <v>2.430555555555558E-2</v>
      </c>
      <c r="N545" s="11">
        <f t="shared" si="71"/>
        <v>0</v>
      </c>
      <c r="O545" s="11">
        <f t="shared" si="72"/>
        <v>0</v>
      </c>
      <c r="P545" s="11">
        <f t="shared" si="73"/>
        <v>0</v>
      </c>
      <c r="Q545" s="11"/>
      <c r="R545" s="11"/>
      <c r="S545" s="11"/>
      <c r="T545" s="11"/>
      <c r="X545" s="11">
        <f t="shared" si="75"/>
        <v>2.430555555555558E-2</v>
      </c>
    </row>
    <row r="546" spans="1:25" outlineLevel="1" x14ac:dyDescent="0.15">
      <c r="A546" s="3">
        <v>38823</v>
      </c>
      <c r="B546" s="3" t="str">
        <f>VLOOKUP(F546, Aircraft!A$2:C$99, 2, FALSE)</f>
        <v>PA28</v>
      </c>
      <c r="C546" t="str">
        <f>VLOOKUP(F546, Aircraft!A$2:C$99, 3, FALSE)</f>
        <v>S</v>
      </c>
      <c r="D546" t="str">
        <f t="shared" si="76"/>
        <v>S</v>
      </c>
      <c r="E546" t="str">
        <f t="shared" si="74"/>
        <v>PA28</v>
      </c>
      <c r="F546" t="s">
        <v>132</v>
      </c>
      <c r="G546" t="s">
        <v>191</v>
      </c>
      <c r="H546" s="2" t="str">
        <f t="shared" si="69"/>
        <v>P1</v>
      </c>
      <c r="I546" t="s">
        <v>250</v>
      </c>
      <c r="J546" t="s">
        <v>250</v>
      </c>
      <c r="K546" s="4">
        <v>0.59027777777777779</v>
      </c>
      <c r="L546" s="4">
        <v>0.63541666666666663</v>
      </c>
      <c r="M546" s="11">
        <f t="shared" si="70"/>
        <v>4.513888888888884E-2</v>
      </c>
      <c r="N546" s="11">
        <f t="shared" si="71"/>
        <v>0</v>
      </c>
      <c r="O546" s="11">
        <f t="shared" si="72"/>
        <v>0</v>
      </c>
      <c r="P546" s="11">
        <f t="shared" si="73"/>
        <v>0</v>
      </c>
      <c r="Q546" s="11"/>
      <c r="R546" s="11"/>
      <c r="S546" s="11"/>
      <c r="T546" s="11"/>
      <c r="V546" s="11">
        <f>M546</f>
        <v>4.513888888888884E-2</v>
      </c>
      <c r="X546" s="11">
        <f t="shared" si="75"/>
        <v>4.513888888888884E-2</v>
      </c>
      <c r="Y546" t="s">
        <v>365</v>
      </c>
    </row>
    <row r="547" spans="1:25" outlineLevel="1" x14ac:dyDescent="0.15">
      <c r="A547" s="3">
        <v>38823</v>
      </c>
      <c r="B547" s="3" t="str">
        <f>VLOOKUP(F547, Aircraft!A$2:C$99, 2, FALSE)</f>
        <v>PA28</v>
      </c>
      <c r="C547" t="str">
        <f>VLOOKUP(F547, Aircraft!A$2:C$99, 3, FALSE)</f>
        <v>S</v>
      </c>
      <c r="D547" t="str">
        <f t="shared" si="76"/>
        <v>S</v>
      </c>
      <c r="E547" t="str">
        <f t="shared" si="74"/>
        <v>PA28</v>
      </c>
      <c r="F547" t="s">
        <v>132</v>
      </c>
      <c r="G547" t="s">
        <v>191</v>
      </c>
      <c r="H547" s="2" t="str">
        <f t="shared" si="69"/>
        <v>P1</v>
      </c>
      <c r="I547" t="s">
        <v>250</v>
      </c>
      <c r="J547" t="s">
        <v>362</v>
      </c>
      <c r="K547" s="4">
        <v>0.69791666666666663</v>
      </c>
      <c r="L547" s="4">
        <v>0.72569444444444453</v>
      </c>
      <c r="M547" s="11">
        <f t="shared" si="70"/>
        <v>2.7777777777777901E-2</v>
      </c>
      <c r="N547" s="11">
        <f t="shared" si="71"/>
        <v>0</v>
      </c>
      <c r="O547" s="11">
        <f t="shared" si="72"/>
        <v>0</v>
      </c>
      <c r="P547" s="11">
        <f t="shared" si="73"/>
        <v>0</v>
      </c>
      <c r="Q547" s="11"/>
      <c r="R547" s="11"/>
      <c r="S547" s="11"/>
      <c r="T547" s="11"/>
      <c r="V547" s="11">
        <f>M547</f>
        <v>2.7777777777777901E-2</v>
      </c>
      <c r="X547" s="11">
        <f t="shared" si="75"/>
        <v>2.7777777777777901E-2</v>
      </c>
      <c r="Y547" t="s">
        <v>363</v>
      </c>
    </row>
    <row r="548" spans="1:25" outlineLevel="1" x14ac:dyDescent="0.15">
      <c r="A548" s="3">
        <v>38823</v>
      </c>
      <c r="B548" s="3" t="str">
        <f>VLOOKUP(F548, Aircraft!A$2:C$99, 2, FALSE)</f>
        <v>PA28</v>
      </c>
      <c r="C548" t="str">
        <f>VLOOKUP(F548, Aircraft!A$2:C$99, 3, FALSE)</f>
        <v>S</v>
      </c>
      <c r="D548" t="str">
        <f t="shared" si="76"/>
        <v>S</v>
      </c>
      <c r="E548" t="str">
        <f t="shared" si="74"/>
        <v>PA28</v>
      </c>
      <c r="F548" t="s">
        <v>132</v>
      </c>
      <c r="G548" t="s">
        <v>191</v>
      </c>
      <c r="H548" s="2" t="str">
        <f>IF(UPPER(G548)&lt;&gt;"SELF",IF(G548&lt;&gt;"", "PUT", ""),"P1")</f>
        <v>P1</v>
      </c>
      <c r="I548" t="s">
        <v>362</v>
      </c>
      <c r="J548" t="s">
        <v>250</v>
      </c>
      <c r="K548" s="4">
        <v>0.74652777777777779</v>
      </c>
      <c r="L548" s="4">
        <v>0.76736111111111116</v>
      </c>
      <c r="M548" s="11">
        <f t="shared" si="70"/>
        <v>2.083333333333337E-2</v>
      </c>
      <c r="N548" s="11">
        <f t="shared" si="71"/>
        <v>0</v>
      </c>
      <c r="O548" s="11">
        <f t="shared" si="72"/>
        <v>0</v>
      </c>
      <c r="P548" s="11">
        <f t="shared" si="73"/>
        <v>0</v>
      </c>
      <c r="Q548" s="11"/>
      <c r="R548" s="11"/>
      <c r="S548" s="11"/>
      <c r="T548" s="11"/>
      <c r="V548" s="11">
        <f>M548</f>
        <v>2.083333333333337E-2</v>
      </c>
      <c r="X548" s="11">
        <f t="shared" si="75"/>
        <v>2.083333333333337E-2</v>
      </c>
    </row>
    <row r="549" spans="1:25" outlineLevel="1" x14ac:dyDescent="0.15">
      <c r="A549" s="3">
        <v>38824</v>
      </c>
      <c r="B549" s="3" t="str">
        <f>VLOOKUP(F549, Aircraft!A$2:C$99, 2, FALSE)</f>
        <v>PA28</v>
      </c>
      <c r="C549" t="str">
        <f>VLOOKUP(F549, Aircraft!A$2:C$99, 3, FALSE)</f>
        <v>S</v>
      </c>
      <c r="D549" t="str">
        <f t="shared" si="76"/>
        <v>S</v>
      </c>
      <c r="E549" t="str">
        <f t="shared" si="74"/>
        <v>PA28</v>
      </c>
      <c r="F549" t="s">
        <v>132</v>
      </c>
      <c r="G549" t="s">
        <v>191</v>
      </c>
      <c r="H549" s="2" t="str">
        <f t="shared" si="69"/>
        <v>P1</v>
      </c>
      <c r="I549" t="s">
        <v>250</v>
      </c>
      <c r="J549" t="s">
        <v>250</v>
      </c>
      <c r="K549" s="4">
        <v>0.70833333333333337</v>
      </c>
      <c r="L549" s="4">
        <v>0.75694444444444453</v>
      </c>
      <c r="M549" s="11">
        <f t="shared" si="70"/>
        <v>4.861111111111116E-2</v>
      </c>
      <c r="N549" s="11">
        <f t="shared" si="71"/>
        <v>0</v>
      </c>
      <c r="O549" s="11">
        <f t="shared" si="72"/>
        <v>0</v>
      </c>
      <c r="P549" s="11">
        <f t="shared" si="73"/>
        <v>0</v>
      </c>
      <c r="Q549" s="11"/>
      <c r="R549" s="11"/>
      <c r="S549" s="11"/>
      <c r="T549" s="11"/>
      <c r="V549" s="11">
        <f>M549</f>
        <v>4.861111111111116E-2</v>
      </c>
      <c r="X549" s="11">
        <f t="shared" si="75"/>
        <v>4.861111111111116E-2</v>
      </c>
      <c r="Y549" t="s">
        <v>364</v>
      </c>
    </row>
    <row r="550" spans="1:25" outlineLevel="1" x14ac:dyDescent="0.15">
      <c r="A550" s="3">
        <v>38850</v>
      </c>
      <c r="B550" s="3" t="str">
        <f>VLOOKUP(F550, Aircraft!A$2:C$99, 2, FALSE)</f>
        <v>PA28</v>
      </c>
      <c r="C550" t="str">
        <f>VLOOKUP(F550, Aircraft!A$2:C$99, 3, FALSE)</f>
        <v>S</v>
      </c>
      <c r="D550" t="str">
        <f t="shared" si="76"/>
        <v>S</v>
      </c>
      <c r="E550" t="str">
        <f t="shared" si="74"/>
        <v>PA28</v>
      </c>
      <c r="F550" t="s">
        <v>673</v>
      </c>
      <c r="G550" t="s">
        <v>191</v>
      </c>
      <c r="H550" s="2" t="str">
        <f t="shared" si="69"/>
        <v>P1</v>
      </c>
      <c r="I550" t="s">
        <v>250</v>
      </c>
      <c r="J550" t="s">
        <v>250</v>
      </c>
      <c r="K550" s="4">
        <v>0.52777777777777779</v>
      </c>
      <c r="L550" s="4">
        <v>0.56944444444444442</v>
      </c>
      <c r="M550" s="11">
        <f t="shared" si="70"/>
        <v>4.166666666666663E-2</v>
      </c>
      <c r="N550" s="11">
        <f t="shared" si="71"/>
        <v>0</v>
      </c>
      <c r="O550" s="11">
        <f t="shared" si="72"/>
        <v>0</v>
      </c>
      <c r="P550" s="11">
        <f t="shared" si="73"/>
        <v>0</v>
      </c>
      <c r="Q550" s="11"/>
      <c r="R550" s="11"/>
      <c r="S550" s="11"/>
      <c r="T550" s="11"/>
      <c r="V550" s="11">
        <f>M550</f>
        <v>4.166666666666663E-2</v>
      </c>
      <c r="X550" s="11">
        <f t="shared" si="75"/>
        <v>4.166666666666663E-2</v>
      </c>
      <c r="Y550" t="s">
        <v>430</v>
      </c>
    </row>
    <row r="551" spans="1:25" outlineLevel="1" x14ac:dyDescent="0.15">
      <c r="A551" s="3">
        <v>38866</v>
      </c>
      <c r="B551" s="3" t="str">
        <f>VLOOKUP(F551, Aircraft!A$2:C$99, 2, FALSE)</f>
        <v>BE76</v>
      </c>
      <c r="C551" t="str">
        <f>VLOOKUP(F551, Aircraft!A$2:C$99, 3, FALSE)</f>
        <v>T</v>
      </c>
      <c r="D551" t="str">
        <f t="shared" si="76"/>
        <v>T</v>
      </c>
      <c r="E551" t="str">
        <f t="shared" si="74"/>
        <v>BE76</v>
      </c>
      <c r="F551" t="s">
        <v>847</v>
      </c>
      <c r="G551" t="s">
        <v>191</v>
      </c>
      <c r="H551" s="2" t="str">
        <f t="shared" ref="H551:H616" si="77">IF(UPPER(G551)&lt;&gt;"SELF",IF(G551&lt;&gt;"", "PUT", ""),"P1")</f>
        <v>P1</v>
      </c>
      <c r="I551" t="s">
        <v>497</v>
      </c>
      <c r="J551" t="s">
        <v>250</v>
      </c>
      <c r="K551" s="4">
        <v>0.4236111111111111</v>
      </c>
      <c r="L551" s="4">
        <v>0.46875</v>
      </c>
      <c r="M551" s="11">
        <f t="shared" si="70"/>
        <v>0</v>
      </c>
      <c r="N551" s="11">
        <f t="shared" si="71"/>
        <v>0</v>
      </c>
      <c r="O551" s="11">
        <f t="shared" si="72"/>
        <v>4.5138888888888895E-2</v>
      </c>
      <c r="P551" s="11">
        <f t="shared" si="73"/>
        <v>0</v>
      </c>
      <c r="Q551" s="11"/>
      <c r="R551" s="11"/>
      <c r="S551" s="11"/>
      <c r="T551" s="11"/>
      <c r="U551" s="27">
        <v>0.2</v>
      </c>
      <c r="X551" s="11">
        <f t="shared" si="75"/>
        <v>4.5138888888888895E-2</v>
      </c>
      <c r="Y551" t="s">
        <v>366</v>
      </c>
    </row>
    <row r="552" spans="1:25" outlineLevel="1" x14ac:dyDescent="0.15">
      <c r="A552" s="3">
        <v>38871</v>
      </c>
      <c r="B552" s="3" t="str">
        <f>VLOOKUP(F552, Aircraft!A$2:C$99, 2, FALSE)</f>
        <v>PA28</v>
      </c>
      <c r="C552" t="str">
        <f>VLOOKUP(F552, Aircraft!A$2:C$99, 3, FALSE)</f>
        <v>S</v>
      </c>
      <c r="D552" t="str">
        <f t="shared" si="76"/>
        <v>S</v>
      </c>
      <c r="E552" t="str">
        <f t="shared" si="74"/>
        <v>PA28</v>
      </c>
      <c r="F552" t="s">
        <v>132</v>
      </c>
      <c r="G552" t="s">
        <v>191</v>
      </c>
      <c r="H552" s="2" t="str">
        <f t="shared" si="77"/>
        <v>P1</v>
      </c>
      <c r="I552" t="s">
        <v>250</v>
      </c>
      <c r="J552" t="s">
        <v>549</v>
      </c>
      <c r="K552" s="4">
        <v>0.51388888888888895</v>
      </c>
      <c r="L552" s="4">
        <v>0.53819444444444442</v>
      </c>
      <c r="M552" s="11">
        <f t="shared" si="70"/>
        <v>2.4305555555555469E-2</v>
      </c>
      <c r="N552" s="11">
        <f t="shared" si="71"/>
        <v>0</v>
      </c>
      <c r="O552" s="11">
        <f t="shared" si="72"/>
        <v>0</v>
      </c>
      <c r="P552" s="11">
        <f t="shared" si="73"/>
        <v>0</v>
      </c>
      <c r="Q552" s="11"/>
      <c r="R552" s="11"/>
      <c r="S552" s="11"/>
      <c r="T552" s="11"/>
      <c r="V552" s="11">
        <f>M552</f>
        <v>2.4305555555555469E-2</v>
      </c>
      <c r="X552" s="11">
        <f t="shared" si="75"/>
        <v>2.4305555555555469E-2</v>
      </c>
      <c r="Y552" t="s">
        <v>546</v>
      </c>
    </row>
    <row r="553" spans="1:25" outlineLevel="1" x14ac:dyDescent="0.15">
      <c r="A553" s="3">
        <v>38871</v>
      </c>
      <c r="B553" s="3" t="str">
        <f>VLOOKUP(F553, Aircraft!A$2:C$99, 2, FALSE)</f>
        <v>PA28</v>
      </c>
      <c r="C553" t="str">
        <f>VLOOKUP(F553, Aircraft!A$2:C$99, 3, FALSE)</f>
        <v>S</v>
      </c>
      <c r="D553" t="str">
        <f t="shared" si="76"/>
        <v>S</v>
      </c>
      <c r="E553" t="str">
        <f t="shared" si="74"/>
        <v>PA28</v>
      </c>
      <c r="F553" t="s">
        <v>132</v>
      </c>
      <c r="G553" t="s">
        <v>191</v>
      </c>
      <c r="H553" s="2" t="str">
        <f t="shared" si="77"/>
        <v>P1</v>
      </c>
      <c r="I553" t="s">
        <v>549</v>
      </c>
      <c r="J553" t="s">
        <v>250</v>
      </c>
      <c r="K553" s="4">
        <v>0.55902777777777779</v>
      </c>
      <c r="L553" s="4">
        <v>0.57986111111111105</v>
      </c>
      <c r="M553" s="11">
        <f t="shared" si="70"/>
        <v>2.0833333333333259E-2</v>
      </c>
      <c r="N553" s="11">
        <f t="shared" si="71"/>
        <v>0</v>
      </c>
      <c r="O553" s="11">
        <f t="shared" si="72"/>
        <v>0</v>
      </c>
      <c r="P553" s="11">
        <f t="shared" si="73"/>
        <v>0</v>
      </c>
      <c r="Q553" s="11"/>
      <c r="R553" s="11"/>
      <c r="S553" s="11"/>
      <c r="T553" s="11"/>
      <c r="V553" s="11">
        <f>M553</f>
        <v>2.0833333333333259E-2</v>
      </c>
      <c r="X553" s="11">
        <f t="shared" si="75"/>
        <v>2.0833333333333259E-2</v>
      </c>
    </row>
    <row r="554" spans="1:25" outlineLevel="1" x14ac:dyDescent="0.15">
      <c r="A554" s="3">
        <v>38871</v>
      </c>
      <c r="B554" s="3" t="str">
        <f>VLOOKUP(F554, Aircraft!A$2:C$99, 2, FALSE)</f>
        <v>PA28</v>
      </c>
      <c r="C554" t="str">
        <f>VLOOKUP(F554, Aircraft!A$2:C$99, 3, FALSE)</f>
        <v>S</v>
      </c>
      <c r="D554" t="str">
        <f t="shared" si="76"/>
        <v>S</v>
      </c>
      <c r="E554" t="str">
        <f t="shared" si="74"/>
        <v>PA28</v>
      </c>
      <c r="F554" t="s">
        <v>132</v>
      </c>
      <c r="G554" t="s">
        <v>191</v>
      </c>
      <c r="H554" s="2" t="str">
        <f t="shared" si="77"/>
        <v>P1</v>
      </c>
      <c r="I554" t="s">
        <v>250</v>
      </c>
      <c r="J554" t="s">
        <v>250</v>
      </c>
      <c r="K554" s="4">
        <v>0.61458333333333337</v>
      </c>
      <c r="L554" s="4">
        <v>0.70486111111111116</v>
      </c>
      <c r="M554" s="11">
        <f t="shared" si="70"/>
        <v>9.027777777777779E-2</v>
      </c>
      <c r="N554" s="11">
        <f t="shared" si="71"/>
        <v>0</v>
      </c>
      <c r="O554" s="11">
        <f t="shared" si="72"/>
        <v>0</v>
      </c>
      <c r="P554" s="11">
        <f t="shared" si="73"/>
        <v>0</v>
      </c>
      <c r="Q554" s="11"/>
      <c r="R554" s="11"/>
      <c r="S554" s="11"/>
      <c r="T554" s="11"/>
      <c r="V554" s="11">
        <f>M554</f>
        <v>9.027777777777779E-2</v>
      </c>
      <c r="X554" s="11">
        <f t="shared" si="75"/>
        <v>9.027777777777779E-2</v>
      </c>
      <c r="Y554" t="s">
        <v>792</v>
      </c>
    </row>
    <row r="555" spans="1:25" outlineLevel="1" x14ac:dyDescent="0.15">
      <c r="A555" s="3">
        <v>38871</v>
      </c>
      <c r="B555" s="3" t="str">
        <f>VLOOKUP(F555, Aircraft!A$2:C$99, 2, FALSE)</f>
        <v>DHC-1</v>
      </c>
      <c r="C555" t="str">
        <f>VLOOKUP(F555, Aircraft!A$2:C$99, 3, FALSE)</f>
        <v>S</v>
      </c>
      <c r="D555" t="str">
        <f t="shared" si="76"/>
        <v>S</v>
      </c>
      <c r="E555" t="str">
        <f t="shared" si="74"/>
        <v>DHC-1</v>
      </c>
      <c r="F555" t="s">
        <v>38</v>
      </c>
      <c r="G555" t="s">
        <v>191</v>
      </c>
      <c r="H555" s="2" t="str">
        <f t="shared" si="77"/>
        <v>P1</v>
      </c>
      <c r="I555" t="s">
        <v>250</v>
      </c>
      <c r="J555" t="s">
        <v>250</v>
      </c>
      <c r="K555" s="4">
        <v>0.73611111111111116</v>
      </c>
      <c r="L555" s="4">
        <v>0.77083333333333337</v>
      </c>
      <c r="M555" s="11">
        <f t="shared" si="70"/>
        <v>3.472222222222221E-2</v>
      </c>
      <c r="N555" s="11">
        <f t="shared" si="71"/>
        <v>0</v>
      </c>
      <c r="O555" s="11">
        <f t="shared" si="72"/>
        <v>0</v>
      </c>
      <c r="P555" s="11">
        <f t="shared" si="73"/>
        <v>0</v>
      </c>
      <c r="Q555" s="11"/>
      <c r="R555" s="11"/>
      <c r="S555" s="11"/>
      <c r="T555" s="11"/>
      <c r="X555" s="11">
        <f t="shared" si="75"/>
        <v>3.472222222222221E-2</v>
      </c>
      <c r="Y555" t="s">
        <v>367</v>
      </c>
    </row>
    <row r="556" spans="1:25" outlineLevel="1" x14ac:dyDescent="0.15">
      <c r="A556" s="3">
        <v>38872</v>
      </c>
      <c r="B556" s="3" t="str">
        <f>VLOOKUP(F556, Aircraft!A$2:C$99, 2, FALSE)</f>
        <v>PA28</v>
      </c>
      <c r="C556" t="str">
        <f>VLOOKUP(F556, Aircraft!A$2:C$99, 3, FALSE)</f>
        <v>S</v>
      </c>
      <c r="D556" t="str">
        <f t="shared" si="76"/>
        <v>S</v>
      </c>
      <c r="E556" t="str">
        <f t="shared" si="74"/>
        <v>PA28</v>
      </c>
      <c r="F556" t="s">
        <v>132</v>
      </c>
      <c r="G556" t="s">
        <v>191</v>
      </c>
      <c r="H556" s="2" t="str">
        <f t="shared" si="77"/>
        <v>P1</v>
      </c>
      <c r="I556" s="4" t="s">
        <v>250</v>
      </c>
      <c r="J556" t="s">
        <v>250</v>
      </c>
      <c r="K556" s="4">
        <v>0.57291666666666663</v>
      </c>
      <c r="L556" s="4">
        <v>0.59375</v>
      </c>
      <c r="M556" s="11">
        <f t="shared" si="70"/>
        <v>2.083333333333337E-2</v>
      </c>
      <c r="N556" s="11">
        <f t="shared" si="71"/>
        <v>0</v>
      </c>
      <c r="O556" s="11">
        <f t="shared" si="72"/>
        <v>0</v>
      </c>
      <c r="P556" s="11">
        <f t="shared" si="73"/>
        <v>0</v>
      </c>
      <c r="Q556" s="11"/>
      <c r="R556" s="11"/>
      <c r="S556" s="11"/>
      <c r="T556" s="11"/>
      <c r="V556" s="11">
        <f>M556</f>
        <v>2.083333333333337E-2</v>
      </c>
      <c r="X556" s="11">
        <f t="shared" si="75"/>
        <v>2.083333333333337E-2</v>
      </c>
      <c r="Y556" t="s">
        <v>546</v>
      </c>
    </row>
    <row r="557" spans="1:25" outlineLevel="1" x14ac:dyDescent="0.15">
      <c r="A557" s="3">
        <v>38878</v>
      </c>
      <c r="B557" s="3" t="str">
        <f>VLOOKUP(F557, Aircraft!A$2:C$99, 2, FALSE)</f>
        <v>PA28</v>
      </c>
      <c r="C557" t="str">
        <f>VLOOKUP(F557, Aircraft!A$2:C$99, 3, FALSE)</f>
        <v>S</v>
      </c>
      <c r="D557" t="str">
        <f t="shared" si="76"/>
        <v>S</v>
      </c>
      <c r="E557" t="str">
        <f>IF(ISNA(B557), "", B557)</f>
        <v>PA28</v>
      </c>
      <c r="F557" t="s">
        <v>132</v>
      </c>
      <c r="G557" t="s">
        <v>191</v>
      </c>
      <c r="H557" s="2" t="str">
        <f t="shared" si="77"/>
        <v>P1</v>
      </c>
      <c r="I557" s="4" t="s">
        <v>250</v>
      </c>
      <c r="J557" t="s">
        <v>250</v>
      </c>
      <c r="K557" s="4">
        <v>0.47222222222222227</v>
      </c>
      <c r="L557" s="4">
        <v>0.51736111111111105</v>
      </c>
      <c r="M557" s="11">
        <f>IF(AND(H557="P1", D557="S"), L557-K557, 0)</f>
        <v>4.5138888888888784E-2</v>
      </c>
      <c r="N557" s="11">
        <f>IF(AND(H557="PUT", D557="S"), L557-K557, 0)</f>
        <v>0</v>
      </c>
      <c r="O557" s="11">
        <f>IF(AND(H557="P1", D557="T"), L557-K557, 0)</f>
        <v>0</v>
      </c>
      <c r="P557" s="11">
        <f>IF(AND(H557="PUT", D557="T"), L557-K557, 0)</f>
        <v>0</v>
      </c>
      <c r="Q557" s="11"/>
      <c r="R557" s="11"/>
      <c r="S557" s="11"/>
      <c r="T557" s="11"/>
      <c r="V557" s="11">
        <f>M557</f>
        <v>4.5138888888888784E-2</v>
      </c>
      <c r="X557" s="11">
        <f>SUM(M557:S557)</f>
        <v>4.5138888888888784E-2</v>
      </c>
      <c r="Y557" t="s">
        <v>137</v>
      </c>
    </row>
    <row r="558" spans="1:25" outlineLevel="1" x14ac:dyDescent="0.15">
      <c r="A558" s="3">
        <v>38878</v>
      </c>
      <c r="B558" s="3" t="str">
        <f>VLOOKUP(F558, Aircraft!A$2:C$99, 2, FALSE)</f>
        <v>PA28</v>
      </c>
      <c r="C558" t="str">
        <f>VLOOKUP(F558, Aircraft!A$2:C$99, 3, FALSE)</f>
        <v>S</v>
      </c>
      <c r="D558" t="str">
        <f t="shared" si="76"/>
        <v>S</v>
      </c>
      <c r="E558" t="str">
        <f>IF(ISNA(B558), "", B558)</f>
        <v>PA28</v>
      </c>
      <c r="F558" t="s">
        <v>132</v>
      </c>
      <c r="G558" t="s">
        <v>191</v>
      </c>
      <c r="H558" s="2" t="str">
        <f t="shared" si="77"/>
        <v>P1</v>
      </c>
      <c r="I558" s="4" t="s">
        <v>250</v>
      </c>
      <c r="J558" t="s">
        <v>250</v>
      </c>
      <c r="K558" s="4">
        <v>0.52083333333333337</v>
      </c>
      <c r="L558" s="4">
        <v>0.55902777777777779</v>
      </c>
      <c r="M558" s="11">
        <f>IF(AND(H558="P1", D558="S"), L558-K558, 0)</f>
        <v>3.819444444444442E-2</v>
      </c>
      <c r="N558" s="11">
        <f>IF(AND(H558="PUT", D558="S"), L558-K558, 0)</f>
        <v>0</v>
      </c>
      <c r="O558" s="11">
        <f>IF(AND(H558="P1", D558="T"), L558-K558, 0)</f>
        <v>0</v>
      </c>
      <c r="P558" s="11">
        <f>IF(AND(H558="PUT", D558="T"), L558-K558, 0)</f>
        <v>0</v>
      </c>
      <c r="Q558" s="11"/>
      <c r="R558" s="11"/>
      <c r="S558" s="11"/>
      <c r="T558" s="11"/>
      <c r="V558" s="11">
        <f>M558</f>
        <v>3.819444444444442E-2</v>
      </c>
      <c r="X558" s="11">
        <f>SUM(M558:S558)</f>
        <v>3.819444444444442E-2</v>
      </c>
      <c r="Y558" t="s">
        <v>580</v>
      </c>
    </row>
    <row r="559" spans="1:25" outlineLevel="1" x14ac:dyDescent="0.15">
      <c r="A559" s="3">
        <v>38879</v>
      </c>
      <c r="B559" s="3" t="str">
        <f>VLOOKUP(F559, Aircraft!A$2:C$99, 2, FALSE)</f>
        <v>BE76</v>
      </c>
      <c r="C559" t="str">
        <f>VLOOKUP(F559, Aircraft!A$2:C$99, 3, FALSE)</f>
        <v>T</v>
      </c>
      <c r="D559" t="str">
        <f t="shared" si="76"/>
        <v>T</v>
      </c>
      <c r="E559" t="str">
        <f>IF(ISNA(B559), "", B559)</f>
        <v>BE76</v>
      </c>
      <c r="F559" t="s">
        <v>847</v>
      </c>
      <c r="G559" t="s">
        <v>191</v>
      </c>
      <c r="H559" s="2" t="str">
        <f t="shared" si="77"/>
        <v>P1</v>
      </c>
      <c r="I559" s="4" t="s">
        <v>581</v>
      </c>
      <c r="J559" t="s">
        <v>250</v>
      </c>
      <c r="K559" s="4">
        <v>0.40625</v>
      </c>
      <c r="L559" s="4">
        <v>0.44097222222222227</v>
      </c>
      <c r="M559" s="11">
        <f>IF(AND(H559="P1", D559="S"), L559-K559, 0)</f>
        <v>0</v>
      </c>
      <c r="N559" s="11">
        <f>IF(AND(H559="PUT", D559="S"), L559-K559, 0)</f>
        <v>0</v>
      </c>
      <c r="O559" s="11">
        <f>IF(AND(H559="P1", D559="T"), L559-K559, 0)</f>
        <v>3.4722222222222265E-2</v>
      </c>
      <c r="P559" s="11">
        <f>IF(AND(H559="PUT", D559="T"), L559-K559, 0)</f>
        <v>0</v>
      </c>
      <c r="Q559" s="11"/>
      <c r="R559" s="11"/>
      <c r="S559" s="11"/>
      <c r="T559" s="11"/>
      <c r="V559" s="11"/>
      <c r="X559" s="11">
        <f>SUM(M559:S559)</f>
        <v>3.4722222222222265E-2</v>
      </c>
      <c r="Y559" t="s">
        <v>582</v>
      </c>
    </row>
    <row r="560" spans="1:25" outlineLevel="1" x14ac:dyDescent="0.15">
      <c r="A560" s="3">
        <v>38892</v>
      </c>
      <c r="B560" s="3" t="str">
        <f>VLOOKUP(F560, Aircraft!A$2:C$99, 2, FALSE)</f>
        <v>PA28</v>
      </c>
      <c r="C560" t="str">
        <f>VLOOKUP(F560, Aircraft!A$2:C$99, 3, FALSE)</f>
        <v>S</v>
      </c>
      <c r="D560" t="str">
        <f t="shared" si="76"/>
        <v>S</v>
      </c>
      <c r="E560" t="str">
        <f t="shared" si="74"/>
        <v>PA28</v>
      </c>
      <c r="F560" t="s">
        <v>132</v>
      </c>
      <c r="G560" t="s">
        <v>191</v>
      </c>
      <c r="H560" s="2" t="str">
        <f t="shared" si="77"/>
        <v>P1</v>
      </c>
      <c r="I560" s="4" t="s">
        <v>250</v>
      </c>
      <c r="J560" t="s">
        <v>250</v>
      </c>
      <c r="K560" s="4">
        <v>0.4201388888888889</v>
      </c>
      <c r="L560" s="4">
        <v>0.47916666666666669</v>
      </c>
      <c r="M560" s="11">
        <f t="shared" si="70"/>
        <v>5.902777777777779E-2</v>
      </c>
      <c r="N560" s="11">
        <f t="shared" si="71"/>
        <v>0</v>
      </c>
      <c r="O560" s="11">
        <f t="shared" si="72"/>
        <v>0</v>
      </c>
      <c r="P560" s="11">
        <f t="shared" si="73"/>
        <v>0</v>
      </c>
      <c r="Q560" s="11"/>
      <c r="R560" s="11"/>
      <c r="S560" s="11"/>
      <c r="T560" s="11"/>
      <c r="V560" s="11">
        <f>M560</f>
        <v>5.902777777777779E-2</v>
      </c>
      <c r="X560" s="11">
        <f t="shared" si="75"/>
        <v>5.902777777777779E-2</v>
      </c>
      <c r="Y560" t="s">
        <v>793</v>
      </c>
    </row>
    <row r="561" spans="1:25" outlineLevel="1" x14ac:dyDescent="0.15">
      <c r="A561" s="3">
        <v>38892</v>
      </c>
      <c r="B561" s="3" t="str">
        <f>VLOOKUP(F561, Aircraft!A$2:C$99, 2, FALSE)</f>
        <v>PA28</v>
      </c>
      <c r="C561" t="str">
        <f>VLOOKUP(F561, Aircraft!A$2:C$99, 3, FALSE)</f>
        <v>S</v>
      </c>
      <c r="D561" t="str">
        <f t="shared" si="76"/>
        <v>S</v>
      </c>
      <c r="E561" t="str">
        <f t="shared" si="74"/>
        <v>PA28</v>
      </c>
      <c r="F561" t="s">
        <v>369</v>
      </c>
      <c r="G561" t="s">
        <v>191</v>
      </c>
      <c r="H561" s="2" t="str">
        <f t="shared" si="77"/>
        <v>P1</v>
      </c>
      <c r="I561" t="s">
        <v>250</v>
      </c>
      <c r="J561" t="s">
        <v>370</v>
      </c>
      <c r="K561" s="4">
        <v>0.56944444444444442</v>
      </c>
      <c r="L561" s="4">
        <v>0.69791666666666663</v>
      </c>
      <c r="M561" s="11">
        <f t="shared" si="70"/>
        <v>0.12847222222222221</v>
      </c>
      <c r="N561" s="11">
        <f t="shared" si="71"/>
        <v>0</v>
      </c>
      <c r="O561" s="11">
        <f t="shared" si="72"/>
        <v>0</v>
      </c>
      <c r="P561" s="11">
        <f t="shared" si="73"/>
        <v>0</v>
      </c>
      <c r="Q561" s="11"/>
      <c r="R561" s="11"/>
      <c r="S561" s="11"/>
      <c r="T561" s="11"/>
      <c r="U561" s="27">
        <v>1</v>
      </c>
      <c r="X561" s="11">
        <f t="shared" si="75"/>
        <v>0.12847222222222221</v>
      </c>
      <c r="Y561" t="s">
        <v>511</v>
      </c>
    </row>
    <row r="562" spans="1:25" outlineLevel="1" x14ac:dyDescent="0.15">
      <c r="A562" s="3">
        <v>38893</v>
      </c>
      <c r="B562" s="3" t="str">
        <f>VLOOKUP(F562, Aircraft!A$2:C$99, 2, FALSE)</f>
        <v>PA28</v>
      </c>
      <c r="C562" t="str">
        <f>VLOOKUP(F562, Aircraft!A$2:C$99, 3, FALSE)</f>
        <v>S</v>
      </c>
      <c r="D562" t="str">
        <f t="shared" si="76"/>
        <v>S</v>
      </c>
      <c r="E562" t="str">
        <f t="shared" si="74"/>
        <v>PA28</v>
      </c>
      <c r="F562" t="s">
        <v>369</v>
      </c>
      <c r="G562" t="s">
        <v>191</v>
      </c>
      <c r="H562" s="2" t="str">
        <f t="shared" si="77"/>
        <v>P1</v>
      </c>
      <c r="I562" t="s">
        <v>370</v>
      </c>
      <c r="J562" t="s">
        <v>250</v>
      </c>
      <c r="K562" s="4">
        <v>0.38194444444444442</v>
      </c>
      <c r="L562" s="4">
        <v>0.51111111111111118</v>
      </c>
      <c r="M562" s="11">
        <f t="shared" si="70"/>
        <v>0.12916666666666676</v>
      </c>
      <c r="N562" s="11">
        <f t="shared" si="71"/>
        <v>0</v>
      </c>
      <c r="O562" s="11">
        <f t="shared" si="72"/>
        <v>0</v>
      </c>
      <c r="P562" s="11">
        <f t="shared" si="73"/>
        <v>0</v>
      </c>
      <c r="Q562" s="11"/>
      <c r="R562" s="11"/>
      <c r="S562" s="11"/>
      <c r="T562" s="11"/>
      <c r="U562" s="27">
        <v>1.5</v>
      </c>
      <c r="X562" s="11">
        <f t="shared" si="75"/>
        <v>0.12916666666666676</v>
      </c>
      <c r="Y562" t="s">
        <v>512</v>
      </c>
    </row>
    <row r="563" spans="1:25" outlineLevel="1" x14ac:dyDescent="0.15">
      <c r="A563" s="3">
        <v>38899</v>
      </c>
      <c r="B563" s="3" t="str">
        <f>VLOOKUP(F563, Aircraft!A$2:C$99, 2, FALSE)</f>
        <v>DHC-1</v>
      </c>
      <c r="C563" t="str">
        <f>VLOOKUP(F563, Aircraft!A$2:C$99, 3, FALSE)</f>
        <v>S</v>
      </c>
      <c r="D563" t="str">
        <f t="shared" si="76"/>
        <v>S</v>
      </c>
      <c r="E563" t="str">
        <f t="shared" si="74"/>
        <v>DHC-1</v>
      </c>
      <c r="F563" t="s">
        <v>38</v>
      </c>
      <c r="G563" t="s">
        <v>191</v>
      </c>
      <c r="H563" s="2" t="str">
        <f t="shared" si="77"/>
        <v>P1</v>
      </c>
      <c r="I563" t="s">
        <v>250</v>
      </c>
      <c r="J563" t="s">
        <v>250</v>
      </c>
      <c r="K563" s="4">
        <v>0.63541666666666663</v>
      </c>
      <c r="L563" s="4">
        <v>0.67361111111111116</v>
      </c>
      <c r="M563" s="11">
        <f t="shared" si="70"/>
        <v>3.8194444444444531E-2</v>
      </c>
      <c r="N563" s="11">
        <f t="shared" si="71"/>
        <v>0</v>
      </c>
      <c r="O563" s="11">
        <f t="shared" si="72"/>
        <v>0</v>
      </c>
      <c r="P563" s="11">
        <f t="shared" si="73"/>
        <v>0</v>
      </c>
      <c r="Q563" s="11"/>
      <c r="R563" s="11"/>
      <c r="S563" s="11"/>
      <c r="T563" s="11"/>
      <c r="X563" s="11">
        <f t="shared" si="75"/>
        <v>3.8194444444444531E-2</v>
      </c>
      <c r="Y563" t="s">
        <v>785</v>
      </c>
    </row>
    <row r="564" spans="1:25" outlineLevel="1" x14ac:dyDescent="0.15">
      <c r="A564" s="3">
        <v>38913</v>
      </c>
      <c r="B564" s="3" t="str">
        <f>VLOOKUP(F564, Aircraft!A$2:C$99, 2, FALSE)</f>
        <v>PA28</v>
      </c>
      <c r="C564" t="str">
        <f>VLOOKUP(F564, Aircraft!A$2:C$99, 3, FALSE)</f>
        <v>S</v>
      </c>
      <c r="D564" t="str">
        <f t="shared" si="76"/>
        <v>S</v>
      </c>
      <c r="E564" t="str">
        <f>IF(ISNA(B564), "", B564)</f>
        <v>PA28</v>
      </c>
      <c r="F564" t="s">
        <v>673</v>
      </c>
      <c r="G564" t="s">
        <v>191</v>
      </c>
      <c r="H564" s="2" t="str">
        <f t="shared" si="77"/>
        <v>P1</v>
      </c>
      <c r="I564" t="s">
        <v>250</v>
      </c>
      <c r="J564" t="s">
        <v>250</v>
      </c>
      <c r="K564" s="4">
        <v>0.69097222222222221</v>
      </c>
      <c r="L564" s="4">
        <v>0.71666666666666667</v>
      </c>
      <c r="M564" s="11">
        <f>IF(AND(H564="P1", D564="S"), L564-K564, 0)</f>
        <v>2.5694444444444464E-2</v>
      </c>
      <c r="N564" s="11">
        <f>IF(AND(H564="PUT", D564="S"), L564-K564, 0)</f>
        <v>0</v>
      </c>
      <c r="O564" s="11">
        <f>IF(AND(H564="P1", D564="T"), L564-K564, 0)</f>
        <v>0</v>
      </c>
      <c r="P564" s="11">
        <f>IF(AND(H564="PUT", D564="T"), L564-K564, 0)</f>
        <v>0</v>
      </c>
      <c r="Q564" s="11"/>
      <c r="R564" s="11"/>
      <c r="S564" s="11"/>
      <c r="T564" s="11"/>
      <c r="V564" s="11">
        <f>M564</f>
        <v>2.5694444444444464E-2</v>
      </c>
      <c r="X564" s="11">
        <f>SUM(M564:S564)</f>
        <v>2.5694444444444464E-2</v>
      </c>
      <c r="Y564" t="s">
        <v>791</v>
      </c>
    </row>
    <row r="565" spans="1:25" outlineLevel="1" x14ac:dyDescent="0.15">
      <c r="A565" s="3">
        <v>38918</v>
      </c>
      <c r="B565" s="3" t="str">
        <f>VLOOKUP(F565, Aircraft!A$2:C$99, 2, FALSE)</f>
        <v>BE76</v>
      </c>
      <c r="C565" t="str">
        <f>VLOOKUP(F565, Aircraft!A$2:C$99, 3, FALSE)</f>
        <v>T</v>
      </c>
      <c r="D565" t="str">
        <f t="shared" si="76"/>
        <v>T</v>
      </c>
      <c r="E565" t="str">
        <f t="shared" ref="E565:E579" si="78">IF(ISNA(B565), "", B565)</f>
        <v>BE76</v>
      </c>
      <c r="F565" t="s">
        <v>847</v>
      </c>
      <c r="G565" t="s">
        <v>191</v>
      </c>
      <c r="H565" s="2" t="str">
        <f t="shared" si="77"/>
        <v>P1</v>
      </c>
      <c r="I565" t="s">
        <v>787</v>
      </c>
      <c r="J565" t="s">
        <v>786</v>
      </c>
      <c r="K565" s="4">
        <v>0.39930555555555558</v>
      </c>
      <c r="L565" s="4">
        <v>0.46180555555555558</v>
      </c>
      <c r="M565" s="11">
        <f t="shared" ref="M565:M579" si="79">IF(AND(H565="P1", D565="S"), L565-K565, 0)</f>
        <v>0</v>
      </c>
      <c r="N565" s="11">
        <f t="shared" ref="N565:N579" si="80">IF(AND(H565="PUT", D565="S"), L565-K565, 0)</f>
        <v>0</v>
      </c>
      <c r="O565" s="11">
        <f t="shared" ref="O565:O579" si="81">IF(AND(H565="P1", D565="T"), L565-K565, 0)</f>
        <v>6.25E-2</v>
      </c>
      <c r="P565" s="11">
        <f t="shared" ref="P565:P579" si="82">IF(AND(H565="PUT", D565="T"), L565-K565, 0)</f>
        <v>0</v>
      </c>
      <c r="Q565" s="11"/>
      <c r="R565" s="11"/>
      <c r="S565" s="11"/>
      <c r="T565" s="11"/>
      <c r="X565" s="11">
        <f t="shared" si="75"/>
        <v>6.25E-2</v>
      </c>
      <c r="Y565" t="s">
        <v>788</v>
      </c>
    </row>
    <row r="566" spans="1:25" outlineLevel="1" x14ac:dyDescent="0.15">
      <c r="A566" s="3">
        <v>38920</v>
      </c>
      <c r="B566" s="3" t="str">
        <f>VLOOKUP(F566, Aircraft!A$2:C$99, 2, FALSE)</f>
        <v>BE76</v>
      </c>
      <c r="C566" t="str">
        <f>VLOOKUP(F566, Aircraft!A$2:C$99, 3, FALSE)</f>
        <v>T</v>
      </c>
      <c r="D566" t="str">
        <f t="shared" si="76"/>
        <v>T</v>
      </c>
      <c r="E566" t="str">
        <f t="shared" si="78"/>
        <v>BE76</v>
      </c>
      <c r="F566" t="s">
        <v>847</v>
      </c>
      <c r="G566" t="s">
        <v>191</v>
      </c>
      <c r="H566" s="2" t="str">
        <f t="shared" si="77"/>
        <v>P1</v>
      </c>
      <c r="I566" t="s">
        <v>786</v>
      </c>
      <c r="J566" t="s">
        <v>789</v>
      </c>
      <c r="K566" s="4">
        <v>0.33333333333333331</v>
      </c>
      <c r="L566" s="4">
        <v>0.375</v>
      </c>
      <c r="M566" s="11">
        <f t="shared" si="79"/>
        <v>0</v>
      </c>
      <c r="N566" s="11">
        <f t="shared" si="80"/>
        <v>0</v>
      </c>
      <c r="O566" s="11">
        <f t="shared" si="81"/>
        <v>4.1666666666666685E-2</v>
      </c>
      <c r="P566" s="11">
        <f t="shared" si="82"/>
        <v>0</v>
      </c>
      <c r="Q566" s="11"/>
      <c r="R566" s="11"/>
      <c r="S566" s="11"/>
      <c r="T566" s="11"/>
      <c r="X566" s="11">
        <f t="shared" si="75"/>
        <v>4.1666666666666685E-2</v>
      </c>
    </row>
    <row r="567" spans="1:25" outlineLevel="1" x14ac:dyDescent="0.15">
      <c r="A567" s="3">
        <v>38920</v>
      </c>
      <c r="B567" s="3" t="str">
        <f>VLOOKUP(F567, Aircraft!A$2:C$99, 2, FALSE)</f>
        <v>BE76</v>
      </c>
      <c r="C567" t="str">
        <f>VLOOKUP(F567, Aircraft!A$2:C$99, 3, FALSE)</f>
        <v>T</v>
      </c>
      <c r="D567" t="str">
        <f t="shared" si="76"/>
        <v>T</v>
      </c>
      <c r="E567" t="str">
        <f t="shared" si="78"/>
        <v>BE76</v>
      </c>
      <c r="F567" t="s">
        <v>847</v>
      </c>
      <c r="G567" t="s">
        <v>191</v>
      </c>
      <c r="H567" s="2" t="str">
        <f t="shared" si="77"/>
        <v>P1</v>
      </c>
      <c r="I567" t="s">
        <v>789</v>
      </c>
      <c r="J567" t="s">
        <v>250</v>
      </c>
      <c r="K567" s="4">
        <v>0.39930555555555558</v>
      </c>
      <c r="L567" s="4">
        <v>0.44097222222222227</v>
      </c>
      <c r="M567" s="11">
        <f t="shared" si="79"/>
        <v>0</v>
      </c>
      <c r="N567" s="11">
        <f t="shared" si="80"/>
        <v>0</v>
      </c>
      <c r="O567" s="11">
        <f t="shared" si="81"/>
        <v>4.1666666666666685E-2</v>
      </c>
      <c r="P567" s="11">
        <f t="shared" si="82"/>
        <v>0</v>
      </c>
      <c r="Q567" s="11"/>
      <c r="R567" s="11"/>
      <c r="S567" s="11"/>
      <c r="T567" s="11"/>
      <c r="X567" s="11">
        <f t="shared" si="75"/>
        <v>4.1666666666666685E-2</v>
      </c>
      <c r="Y567" t="s">
        <v>790</v>
      </c>
    </row>
    <row r="568" spans="1:25" outlineLevel="1" x14ac:dyDescent="0.15">
      <c r="A568" s="3">
        <v>38921</v>
      </c>
      <c r="B568" s="3" t="str">
        <f>VLOOKUP(F568, Aircraft!A$2:C$99, 2, FALSE)</f>
        <v>PA28</v>
      </c>
      <c r="C568" t="str">
        <f>VLOOKUP(F568, Aircraft!A$2:C$99, 3, FALSE)</f>
        <v>S</v>
      </c>
      <c r="D568" t="str">
        <f t="shared" si="76"/>
        <v>S</v>
      </c>
      <c r="E568" t="str">
        <f t="shared" si="78"/>
        <v>PA28</v>
      </c>
      <c r="F568" t="s">
        <v>132</v>
      </c>
      <c r="G568" t="s">
        <v>191</v>
      </c>
      <c r="H568" s="2" t="str">
        <f t="shared" si="77"/>
        <v>P1</v>
      </c>
      <c r="I568" t="s">
        <v>250</v>
      </c>
      <c r="J568" t="s">
        <v>362</v>
      </c>
      <c r="K568" s="4">
        <v>0.49305555555555558</v>
      </c>
      <c r="L568" s="4">
        <v>0.51736111111111105</v>
      </c>
      <c r="M568" s="11">
        <f t="shared" si="79"/>
        <v>2.4305555555555469E-2</v>
      </c>
      <c r="N568" s="11">
        <f t="shared" si="80"/>
        <v>0</v>
      </c>
      <c r="O568" s="11">
        <f t="shared" si="81"/>
        <v>0</v>
      </c>
      <c r="P568" s="11">
        <f t="shared" si="82"/>
        <v>0</v>
      </c>
      <c r="Q568" s="11"/>
      <c r="R568" s="11"/>
      <c r="S568" s="11"/>
      <c r="T568" s="11"/>
      <c r="V568" s="11">
        <f>M568</f>
        <v>2.4305555555555469E-2</v>
      </c>
      <c r="X568" s="11">
        <f t="shared" si="75"/>
        <v>2.4305555555555469E-2</v>
      </c>
      <c r="Y568" t="s">
        <v>546</v>
      </c>
    </row>
    <row r="569" spans="1:25" outlineLevel="1" x14ac:dyDescent="0.15">
      <c r="A569" s="3">
        <v>38921</v>
      </c>
      <c r="B569" s="3" t="str">
        <f>VLOOKUP(F569, Aircraft!A$2:C$99, 2, FALSE)</f>
        <v>PA28</v>
      </c>
      <c r="C569" t="str">
        <f>VLOOKUP(F569, Aircraft!A$2:C$99, 3, FALSE)</f>
        <v>S</v>
      </c>
      <c r="D569" t="str">
        <f t="shared" si="76"/>
        <v>S</v>
      </c>
      <c r="E569" t="str">
        <f t="shared" si="78"/>
        <v>PA28</v>
      </c>
      <c r="F569" t="s">
        <v>132</v>
      </c>
      <c r="G569" t="s">
        <v>191</v>
      </c>
      <c r="H569" s="2" t="str">
        <f t="shared" si="77"/>
        <v>P1</v>
      </c>
      <c r="I569" t="s">
        <v>362</v>
      </c>
      <c r="J569" t="s">
        <v>250</v>
      </c>
      <c r="K569" s="4">
        <v>0.54166666666666663</v>
      </c>
      <c r="L569" s="4">
        <v>0.56944444444444442</v>
      </c>
      <c r="M569" s="11">
        <f t="shared" si="79"/>
        <v>2.777777777777779E-2</v>
      </c>
      <c r="N569" s="11">
        <f t="shared" si="80"/>
        <v>0</v>
      </c>
      <c r="O569" s="11">
        <f t="shared" si="81"/>
        <v>0</v>
      </c>
      <c r="P569" s="11">
        <f t="shared" si="82"/>
        <v>0</v>
      </c>
      <c r="Q569" s="11"/>
      <c r="R569" s="11"/>
      <c r="S569" s="11"/>
      <c r="T569" s="11"/>
      <c r="V569" s="11">
        <f>M569</f>
        <v>2.777777777777779E-2</v>
      </c>
      <c r="X569" s="11">
        <f t="shared" si="75"/>
        <v>2.777777777777779E-2</v>
      </c>
    </row>
    <row r="570" spans="1:25" outlineLevel="1" x14ac:dyDescent="0.15">
      <c r="A570" s="3">
        <v>38921</v>
      </c>
      <c r="B570" s="3" t="str">
        <f>VLOOKUP(F570, Aircraft!A$2:C$99, 2, FALSE)</f>
        <v>DHC-1</v>
      </c>
      <c r="C570" t="str">
        <f>VLOOKUP(F570, Aircraft!A$2:C$99, 3, FALSE)</f>
        <v>S</v>
      </c>
      <c r="D570" t="str">
        <f t="shared" si="76"/>
        <v>S</v>
      </c>
      <c r="E570" t="str">
        <f t="shared" si="78"/>
        <v>DHC-1</v>
      </c>
      <c r="F570" t="s">
        <v>38</v>
      </c>
      <c r="G570" t="s">
        <v>191</v>
      </c>
      <c r="H570" s="2" t="str">
        <f t="shared" si="77"/>
        <v>P1</v>
      </c>
      <c r="I570" t="s">
        <v>250</v>
      </c>
      <c r="J570" t="s">
        <v>250</v>
      </c>
      <c r="K570" s="4">
        <v>0.59375</v>
      </c>
      <c r="L570" s="4">
        <v>0.625</v>
      </c>
      <c r="M570" s="11">
        <f t="shared" si="79"/>
        <v>3.125E-2</v>
      </c>
      <c r="N570" s="11">
        <f t="shared" si="80"/>
        <v>0</v>
      </c>
      <c r="O570" s="11">
        <f t="shared" si="81"/>
        <v>0</v>
      </c>
      <c r="P570" s="11">
        <f t="shared" si="82"/>
        <v>0</v>
      </c>
      <c r="Q570" s="11"/>
      <c r="R570" s="11"/>
      <c r="S570" s="11"/>
      <c r="T570" s="11"/>
      <c r="X570" s="11">
        <f t="shared" si="75"/>
        <v>3.125E-2</v>
      </c>
    </row>
    <row r="571" spans="1:25" outlineLevel="1" x14ac:dyDescent="0.15">
      <c r="A571" s="3">
        <v>38983</v>
      </c>
      <c r="B571" s="3" t="str">
        <f>VLOOKUP(F571, Aircraft!A$2:C$99, 2, FALSE)</f>
        <v>PA28</v>
      </c>
      <c r="C571" t="str">
        <f>VLOOKUP(F571, Aircraft!A$2:C$99, 3, FALSE)</f>
        <v>S</v>
      </c>
      <c r="D571" t="str">
        <f t="shared" si="76"/>
        <v>S</v>
      </c>
      <c r="E571" t="str">
        <f t="shared" si="78"/>
        <v>PA28</v>
      </c>
      <c r="F571" t="s">
        <v>132</v>
      </c>
      <c r="G571" t="s">
        <v>191</v>
      </c>
      <c r="H571" s="2" t="str">
        <f t="shared" si="77"/>
        <v>P1</v>
      </c>
      <c r="I571" s="4" t="s">
        <v>250</v>
      </c>
      <c r="J571" t="s">
        <v>250</v>
      </c>
      <c r="K571" s="4">
        <v>0.4861111111111111</v>
      </c>
      <c r="L571" s="4">
        <v>0.52430555555555558</v>
      </c>
      <c r="M571" s="11">
        <f t="shared" si="79"/>
        <v>3.8194444444444475E-2</v>
      </c>
      <c r="N571" s="11">
        <f t="shared" si="80"/>
        <v>0</v>
      </c>
      <c r="O571" s="11">
        <f t="shared" si="81"/>
        <v>0</v>
      </c>
      <c r="P571" s="11">
        <f t="shared" si="82"/>
        <v>0</v>
      </c>
      <c r="Q571" s="11"/>
      <c r="R571" s="11"/>
      <c r="S571" s="11"/>
      <c r="T571" s="11"/>
      <c r="V571" s="11">
        <f t="shared" ref="V571:V579" si="83">M571</f>
        <v>3.8194444444444475E-2</v>
      </c>
      <c r="X571" s="11">
        <f t="shared" si="75"/>
        <v>3.8194444444444475E-2</v>
      </c>
      <c r="Y571" t="s">
        <v>546</v>
      </c>
    </row>
    <row r="572" spans="1:25" outlineLevel="1" x14ac:dyDescent="0.15">
      <c r="A572" s="3">
        <v>38983</v>
      </c>
      <c r="B572" s="3" t="str">
        <f>VLOOKUP(F572, Aircraft!A$2:C$99, 2, FALSE)</f>
        <v>PA28</v>
      </c>
      <c r="C572" t="str">
        <f>VLOOKUP(F572, Aircraft!A$2:C$99, 3, FALSE)</f>
        <v>S</v>
      </c>
      <c r="D572" t="str">
        <f t="shared" si="76"/>
        <v>S</v>
      </c>
      <c r="E572" t="str">
        <f>IF(ISNA(B572), "", B572)</f>
        <v>PA28</v>
      </c>
      <c r="F572" t="s">
        <v>132</v>
      </c>
      <c r="G572" t="s">
        <v>191</v>
      </c>
      <c r="H572" s="2" t="str">
        <f t="shared" si="77"/>
        <v>P1</v>
      </c>
      <c r="I572" s="4" t="s">
        <v>250</v>
      </c>
      <c r="J572" t="s">
        <v>250</v>
      </c>
      <c r="K572" s="4">
        <v>0.60416666666666663</v>
      </c>
      <c r="L572" s="4">
        <v>0.64583333333333337</v>
      </c>
      <c r="M572" s="11">
        <f t="shared" si="79"/>
        <v>4.1666666666666741E-2</v>
      </c>
      <c r="N572" s="11">
        <f t="shared" si="80"/>
        <v>0</v>
      </c>
      <c r="O572" s="11">
        <f t="shared" si="81"/>
        <v>0</v>
      </c>
      <c r="P572" s="11">
        <f t="shared" si="82"/>
        <v>0</v>
      </c>
      <c r="Q572" s="11"/>
      <c r="R572" s="11"/>
      <c r="S572" s="11"/>
      <c r="T572" s="11"/>
      <c r="V572" s="11">
        <f t="shared" si="83"/>
        <v>4.1666666666666741E-2</v>
      </c>
      <c r="X572" s="11">
        <f t="shared" si="75"/>
        <v>4.1666666666666741E-2</v>
      </c>
      <c r="Y572" t="s">
        <v>434</v>
      </c>
    </row>
    <row r="573" spans="1:25" outlineLevel="1" x14ac:dyDescent="0.15">
      <c r="A573" s="3">
        <v>38983</v>
      </c>
      <c r="B573" s="3" t="str">
        <f>VLOOKUP(F573, Aircraft!A$2:C$99, 2, FALSE)</f>
        <v>PA28</v>
      </c>
      <c r="C573" t="str">
        <f>VLOOKUP(F573, Aircraft!A$2:C$99, 3, FALSE)</f>
        <v>S</v>
      </c>
      <c r="D573" t="str">
        <f t="shared" si="76"/>
        <v>S</v>
      </c>
      <c r="E573" t="str">
        <f>IF(ISNA(B573), "", B573)</f>
        <v>PA28</v>
      </c>
      <c r="F573" t="s">
        <v>132</v>
      </c>
      <c r="G573" t="s">
        <v>191</v>
      </c>
      <c r="H573" s="2" t="str">
        <f t="shared" si="77"/>
        <v>P1</v>
      </c>
      <c r="I573" s="4" t="s">
        <v>250</v>
      </c>
      <c r="J573" t="s">
        <v>250</v>
      </c>
      <c r="K573" s="4">
        <v>0.67708333333333337</v>
      </c>
      <c r="L573" s="4">
        <v>0.71875</v>
      </c>
      <c r="M573" s="11">
        <f t="shared" si="79"/>
        <v>4.166666666666663E-2</v>
      </c>
      <c r="N573" s="11">
        <f t="shared" si="80"/>
        <v>0</v>
      </c>
      <c r="O573" s="11">
        <f t="shared" si="81"/>
        <v>0</v>
      </c>
      <c r="P573" s="11">
        <f t="shared" si="82"/>
        <v>0</v>
      </c>
      <c r="Q573" s="11"/>
      <c r="R573" s="11"/>
      <c r="S573" s="11"/>
      <c r="T573" s="11"/>
      <c r="V573" s="11">
        <f t="shared" si="83"/>
        <v>4.166666666666663E-2</v>
      </c>
      <c r="X573" s="11">
        <f t="shared" si="75"/>
        <v>4.166666666666663E-2</v>
      </c>
      <c r="Y573" t="s">
        <v>435</v>
      </c>
    </row>
    <row r="574" spans="1:25" outlineLevel="1" x14ac:dyDescent="0.15">
      <c r="A574" s="3">
        <v>38983</v>
      </c>
      <c r="B574" s="3" t="str">
        <f>VLOOKUP(F574, Aircraft!A$2:C$99, 2, FALSE)</f>
        <v>PA28</v>
      </c>
      <c r="C574" t="str">
        <f>VLOOKUP(F574, Aircraft!A$2:C$99, 3, FALSE)</f>
        <v>S</v>
      </c>
      <c r="D574" t="str">
        <f t="shared" si="76"/>
        <v>S</v>
      </c>
      <c r="E574" t="str">
        <f>IF(ISNA(B574), "", B574)</f>
        <v>PA28</v>
      </c>
      <c r="F574" t="s">
        <v>132</v>
      </c>
      <c r="G574" t="s">
        <v>191</v>
      </c>
      <c r="H574" s="2" t="str">
        <f t="shared" si="77"/>
        <v>P1</v>
      </c>
      <c r="I574" s="4" t="s">
        <v>250</v>
      </c>
      <c r="J574" t="s">
        <v>250</v>
      </c>
      <c r="K574" s="4">
        <v>0.72222222222222221</v>
      </c>
      <c r="L574" s="4">
        <v>0.74305555555555547</v>
      </c>
      <c r="M574" s="11">
        <f t="shared" si="79"/>
        <v>2.0833333333333259E-2</v>
      </c>
      <c r="N574" s="11">
        <f t="shared" si="80"/>
        <v>0</v>
      </c>
      <c r="O574" s="11">
        <f t="shared" si="81"/>
        <v>0</v>
      </c>
      <c r="P574" s="11">
        <f t="shared" si="82"/>
        <v>0</v>
      </c>
      <c r="Q574" s="11"/>
      <c r="R574" s="11"/>
      <c r="S574" s="11"/>
      <c r="T574" s="11"/>
      <c r="V574" s="11">
        <f t="shared" si="83"/>
        <v>2.0833333333333259E-2</v>
      </c>
      <c r="X574" s="11">
        <f t="shared" si="75"/>
        <v>2.0833333333333259E-2</v>
      </c>
      <c r="Y574" t="s">
        <v>579</v>
      </c>
    </row>
    <row r="575" spans="1:25" outlineLevel="1" x14ac:dyDescent="0.15">
      <c r="A575" s="3">
        <v>38990</v>
      </c>
      <c r="B575" s="3" t="str">
        <f>VLOOKUP(F575, Aircraft!A$2:C$99, 2, FALSE)</f>
        <v>PA28</v>
      </c>
      <c r="C575" t="str">
        <f>VLOOKUP(F575, Aircraft!A$2:C$99, 3, FALSE)</f>
        <v>S</v>
      </c>
      <c r="D575" t="str">
        <f t="shared" si="76"/>
        <v>S</v>
      </c>
      <c r="E575" t="str">
        <f t="shared" si="78"/>
        <v>PA28</v>
      </c>
      <c r="F575" t="s">
        <v>132</v>
      </c>
      <c r="G575" t="s">
        <v>191</v>
      </c>
      <c r="H575" s="2" t="str">
        <f t="shared" si="77"/>
        <v>P1</v>
      </c>
      <c r="I575" s="4" t="s">
        <v>250</v>
      </c>
      <c r="J575" t="s">
        <v>250</v>
      </c>
      <c r="K575" s="4">
        <v>0.59375</v>
      </c>
      <c r="L575" s="4">
        <v>0.63194444444444442</v>
      </c>
      <c r="M575" s="11">
        <f t="shared" si="79"/>
        <v>3.819444444444442E-2</v>
      </c>
      <c r="N575" s="11">
        <f t="shared" si="80"/>
        <v>0</v>
      </c>
      <c r="O575" s="11">
        <f t="shared" si="81"/>
        <v>0</v>
      </c>
      <c r="P575" s="11">
        <f t="shared" si="82"/>
        <v>0</v>
      </c>
      <c r="Q575" s="11"/>
      <c r="R575" s="11"/>
      <c r="S575" s="11"/>
      <c r="T575" s="11"/>
      <c r="V575" s="11">
        <f t="shared" si="83"/>
        <v>3.819444444444442E-2</v>
      </c>
      <c r="X575" s="11">
        <f t="shared" si="75"/>
        <v>3.819444444444442E-2</v>
      </c>
      <c r="Y575" t="s">
        <v>583</v>
      </c>
    </row>
    <row r="576" spans="1:25" outlineLevel="1" x14ac:dyDescent="0.15">
      <c r="A576" s="3">
        <v>38990</v>
      </c>
      <c r="B576" s="3" t="str">
        <f>VLOOKUP(F576, Aircraft!A$2:C$99, 2, FALSE)</f>
        <v>PA28</v>
      </c>
      <c r="C576" t="str">
        <f>VLOOKUP(F576, Aircraft!A$2:C$99, 3, FALSE)</f>
        <v>S</v>
      </c>
      <c r="D576" t="str">
        <f t="shared" si="76"/>
        <v>S</v>
      </c>
      <c r="E576" t="str">
        <f t="shared" si="78"/>
        <v>PA28</v>
      </c>
      <c r="F576" t="s">
        <v>132</v>
      </c>
      <c r="G576" t="s">
        <v>191</v>
      </c>
      <c r="H576" s="2" t="str">
        <f t="shared" si="77"/>
        <v>P1</v>
      </c>
      <c r="I576" s="4" t="s">
        <v>250</v>
      </c>
      <c r="J576" t="s">
        <v>362</v>
      </c>
      <c r="K576" s="4">
        <v>0.66319444444444442</v>
      </c>
      <c r="L576" s="4">
        <v>0.69097222222222221</v>
      </c>
      <c r="M576" s="11">
        <f t="shared" si="79"/>
        <v>2.777777777777779E-2</v>
      </c>
      <c r="N576" s="11">
        <f t="shared" si="80"/>
        <v>0</v>
      </c>
      <c r="O576" s="11">
        <f t="shared" si="81"/>
        <v>0</v>
      </c>
      <c r="P576" s="11">
        <f t="shared" si="82"/>
        <v>0</v>
      </c>
      <c r="Q576" s="11"/>
      <c r="R576" s="11"/>
      <c r="S576" s="11"/>
      <c r="T576" s="11"/>
      <c r="V576" s="11">
        <f t="shared" si="83"/>
        <v>2.777777777777779E-2</v>
      </c>
      <c r="X576" s="11">
        <f t="shared" si="75"/>
        <v>2.777777777777779E-2</v>
      </c>
      <c r="Y576" t="s">
        <v>546</v>
      </c>
    </row>
    <row r="577" spans="1:25" outlineLevel="1" x14ac:dyDescent="0.15">
      <c r="A577" s="3">
        <v>38990</v>
      </c>
      <c r="B577" s="3" t="str">
        <f>VLOOKUP(F577, Aircraft!A$2:C$99, 2, FALSE)</f>
        <v>PA28</v>
      </c>
      <c r="C577" t="str">
        <f>VLOOKUP(F577, Aircraft!A$2:C$99, 3, FALSE)</f>
        <v>S</v>
      </c>
      <c r="D577" t="str">
        <f t="shared" si="76"/>
        <v>S</v>
      </c>
      <c r="E577" t="str">
        <f t="shared" si="78"/>
        <v>PA28</v>
      </c>
      <c r="F577" t="s">
        <v>132</v>
      </c>
      <c r="G577" t="s">
        <v>191</v>
      </c>
      <c r="H577" s="2" t="str">
        <f t="shared" si="77"/>
        <v>P1</v>
      </c>
      <c r="I577" s="4" t="s">
        <v>362</v>
      </c>
      <c r="J577" t="s">
        <v>250</v>
      </c>
      <c r="K577" s="4">
        <v>0.71180555555555547</v>
      </c>
      <c r="L577" s="4">
        <v>0.73958333333333337</v>
      </c>
      <c r="M577" s="11">
        <f t="shared" si="79"/>
        <v>2.7777777777777901E-2</v>
      </c>
      <c r="N577" s="11">
        <f t="shared" si="80"/>
        <v>0</v>
      </c>
      <c r="O577" s="11">
        <f t="shared" si="81"/>
        <v>0</v>
      </c>
      <c r="P577" s="11">
        <f t="shared" si="82"/>
        <v>0</v>
      </c>
      <c r="Q577" s="11"/>
      <c r="R577" s="11"/>
      <c r="S577" s="11"/>
      <c r="T577" s="11"/>
      <c r="V577" s="11">
        <f t="shared" si="83"/>
        <v>2.7777777777777901E-2</v>
      </c>
      <c r="X577" s="11">
        <f t="shared" si="75"/>
        <v>2.7777777777777901E-2</v>
      </c>
    </row>
    <row r="578" spans="1:25" outlineLevel="1" x14ac:dyDescent="0.15">
      <c r="A578" s="3">
        <v>39011</v>
      </c>
      <c r="B578" s="3" t="str">
        <f>VLOOKUP(F578, Aircraft!A$2:C$99, 2, FALSE)</f>
        <v>PA28</v>
      </c>
      <c r="C578" t="str">
        <f>VLOOKUP(F578, Aircraft!A$2:C$99, 3, FALSE)</f>
        <v>S</v>
      </c>
      <c r="D578" t="str">
        <f t="shared" si="76"/>
        <v>S</v>
      </c>
      <c r="E578" t="str">
        <f t="shared" si="78"/>
        <v>PA28</v>
      </c>
      <c r="F578" t="s">
        <v>132</v>
      </c>
      <c r="G578" t="s">
        <v>191</v>
      </c>
      <c r="H578" s="2" t="str">
        <f t="shared" si="77"/>
        <v>P1</v>
      </c>
      <c r="I578" s="4" t="s">
        <v>250</v>
      </c>
      <c r="J578" t="s">
        <v>250</v>
      </c>
      <c r="K578" s="4">
        <v>0.47569444444444442</v>
      </c>
      <c r="L578" s="4">
        <v>0.50694444444444442</v>
      </c>
      <c r="M578" s="11">
        <f t="shared" si="79"/>
        <v>3.125E-2</v>
      </c>
      <c r="N578" s="11">
        <f t="shared" si="80"/>
        <v>0</v>
      </c>
      <c r="O578" s="11">
        <f t="shared" si="81"/>
        <v>0</v>
      </c>
      <c r="P578" s="11">
        <f t="shared" si="82"/>
        <v>0</v>
      </c>
      <c r="Q578" s="11"/>
      <c r="R578" s="11"/>
      <c r="S578" s="11"/>
      <c r="T578" s="11"/>
      <c r="V578" s="11">
        <f t="shared" si="83"/>
        <v>3.125E-2</v>
      </c>
      <c r="X578" s="11">
        <f t="shared" si="75"/>
        <v>3.125E-2</v>
      </c>
      <c r="Y578" t="s">
        <v>447</v>
      </c>
    </row>
    <row r="579" spans="1:25" outlineLevel="1" x14ac:dyDescent="0.15">
      <c r="A579" s="3">
        <v>39011</v>
      </c>
      <c r="B579" s="3" t="str">
        <f>VLOOKUP(F579, Aircraft!A$2:C$99, 2, FALSE)</f>
        <v>PA28</v>
      </c>
      <c r="C579" t="str">
        <f>VLOOKUP(F579, Aircraft!A$2:C$99, 3, FALSE)</f>
        <v>S</v>
      </c>
      <c r="D579" t="str">
        <f t="shared" si="76"/>
        <v>S</v>
      </c>
      <c r="E579" t="str">
        <f t="shared" si="78"/>
        <v>PA28</v>
      </c>
      <c r="F579" t="s">
        <v>132</v>
      </c>
      <c r="G579" t="s">
        <v>191</v>
      </c>
      <c r="H579" s="2" t="str">
        <f t="shared" si="77"/>
        <v>P1</v>
      </c>
      <c r="I579" s="4" t="s">
        <v>250</v>
      </c>
      <c r="J579" t="s">
        <v>250</v>
      </c>
      <c r="K579" s="4">
        <v>0.58333333333333337</v>
      </c>
      <c r="L579" s="4">
        <v>0.62847222222222221</v>
      </c>
      <c r="M579" s="11">
        <f t="shared" si="79"/>
        <v>4.513888888888884E-2</v>
      </c>
      <c r="N579" s="11">
        <f t="shared" si="80"/>
        <v>0</v>
      </c>
      <c r="O579" s="11">
        <f t="shared" si="81"/>
        <v>0</v>
      </c>
      <c r="P579" s="11">
        <f t="shared" si="82"/>
        <v>0</v>
      </c>
      <c r="Q579" s="11"/>
      <c r="R579" s="11"/>
      <c r="S579" s="11"/>
      <c r="T579" s="11"/>
      <c r="V579" s="11">
        <f t="shared" si="83"/>
        <v>4.513888888888884E-2</v>
      </c>
      <c r="X579" s="11">
        <f t="shared" si="75"/>
        <v>4.513888888888884E-2</v>
      </c>
      <c r="Y579" t="s">
        <v>448</v>
      </c>
    </row>
    <row r="580" spans="1:25" x14ac:dyDescent="0.15">
      <c r="I580" s="4"/>
      <c r="O580" s="11"/>
      <c r="P580" s="11"/>
      <c r="Q580" s="11"/>
      <c r="R580" s="11"/>
      <c r="S580" s="11"/>
      <c r="T580" s="11"/>
      <c r="V580" s="11"/>
      <c r="X580" s="11"/>
    </row>
    <row r="581" spans="1:25" x14ac:dyDescent="0.15">
      <c r="A581" s="3">
        <v>39999</v>
      </c>
      <c r="B581" s="3" t="str">
        <f>VLOOKUP(F581, Aircraft!A$2:C$99, 2, FALSE)</f>
        <v>PA28</v>
      </c>
      <c r="C581" t="str">
        <f>VLOOKUP(F581, Aircraft!A$2:C$99, 3, FALSE)</f>
        <v>S</v>
      </c>
      <c r="D581" t="str">
        <f t="shared" si="76"/>
        <v>S</v>
      </c>
      <c r="E581" t="str">
        <f t="shared" ref="E581:E616" si="84">IF(ISNA(B581), "", B581)</f>
        <v>PA28</v>
      </c>
      <c r="F581" t="s">
        <v>265</v>
      </c>
      <c r="G581" t="s">
        <v>133</v>
      </c>
      <c r="H581" s="2" t="str">
        <f t="shared" si="77"/>
        <v>PUT</v>
      </c>
      <c r="I581" s="4" t="s">
        <v>250</v>
      </c>
      <c r="J581" t="s">
        <v>450</v>
      </c>
      <c r="K581" s="4">
        <v>0.34722222222222227</v>
      </c>
      <c r="L581" s="4">
        <v>0.39930555555555558</v>
      </c>
      <c r="M581" s="11">
        <f t="shared" ref="M581:M616" si="85">IF(AND(H581="P1", D581="S"), L581-K581, 0)</f>
        <v>0</v>
      </c>
      <c r="N581" s="11">
        <f t="shared" ref="N581:N616" si="86">IF(AND(H581="PUT", D581="S"), L581-K581, 0)</f>
        <v>5.2083333333333315E-2</v>
      </c>
      <c r="O581" s="11">
        <f t="shared" ref="O581:O616" si="87">IF(AND(H581="P1", D581="T"), L581-K581, 0)</f>
        <v>0</v>
      </c>
      <c r="P581" s="11">
        <f t="shared" ref="P581:P616" si="88">IF(AND(H581="PUT", D581="T"), L581-K581, 0)</f>
        <v>0</v>
      </c>
      <c r="Q581" s="11"/>
      <c r="R581" s="11"/>
      <c r="S581" s="11"/>
      <c r="T581" s="11"/>
      <c r="X581" s="11">
        <f t="shared" ref="X581:X616" si="89">SUM(M581:S581)</f>
        <v>5.2083333333333315E-2</v>
      </c>
      <c r="Y581" t="s">
        <v>451</v>
      </c>
    </row>
    <row r="582" spans="1:25" x14ac:dyDescent="0.15">
      <c r="A582" s="3">
        <v>39999</v>
      </c>
      <c r="B582" s="3" t="str">
        <f>VLOOKUP(F582, Aircraft!A$2:C$99, 2, FALSE)</f>
        <v>PA28</v>
      </c>
      <c r="C582" t="str">
        <f>VLOOKUP(F582, Aircraft!A$2:C$99, 3, FALSE)</f>
        <v>S</v>
      </c>
      <c r="D582" t="str">
        <f t="shared" si="76"/>
        <v>S</v>
      </c>
      <c r="E582" t="str">
        <f t="shared" si="84"/>
        <v>PA28</v>
      </c>
      <c r="F582" t="s">
        <v>265</v>
      </c>
      <c r="G582" t="s">
        <v>133</v>
      </c>
      <c r="H582" s="2" t="str">
        <f t="shared" si="77"/>
        <v>PUT</v>
      </c>
      <c r="I582" s="4" t="s">
        <v>450</v>
      </c>
      <c r="J582" t="s">
        <v>250</v>
      </c>
      <c r="K582" s="4">
        <v>0.42708333333333331</v>
      </c>
      <c r="L582" s="4">
        <v>0.45833333333333331</v>
      </c>
      <c r="M582" s="11">
        <f t="shared" si="85"/>
        <v>0</v>
      </c>
      <c r="N582" s="11">
        <f t="shared" si="86"/>
        <v>3.125E-2</v>
      </c>
      <c r="O582" s="11">
        <f t="shared" si="87"/>
        <v>0</v>
      </c>
      <c r="P582" s="11">
        <f t="shared" si="88"/>
        <v>0</v>
      </c>
      <c r="Q582" s="11"/>
      <c r="R582" s="11"/>
      <c r="S582" s="11"/>
      <c r="T582" s="11"/>
      <c r="X582" s="11">
        <f t="shared" si="89"/>
        <v>3.125E-2</v>
      </c>
      <c r="Y582" t="s">
        <v>664</v>
      </c>
    </row>
    <row r="583" spans="1:25" x14ac:dyDescent="0.15">
      <c r="A583" s="3">
        <v>40361</v>
      </c>
      <c r="B583" s="3" t="str">
        <f>VLOOKUP(F583, Aircraft!A$2:C$99, 2, FALSE)</f>
        <v>PA28</v>
      </c>
      <c r="C583" t="str">
        <f>VLOOKUP(F583, Aircraft!A$2:C$99, 3, FALSE)</f>
        <v>S</v>
      </c>
      <c r="D583" t="str">
        <f t="shared" si="76"/>
        <v>S</v>
      </c>
      <c r="E583" t="str">
        <f t="shared" si="84"/>
        <v>PA28</v>
      </c>
      <c r="F583" t="s">
        <v>553</v>
      </c>
      <c r="G583" t="s">
        <v>558</v>
      </c>
      <c r="H583" s="2" t="str">
        <f t="shared" si="77"/>
        <v>PUT</v>
      </c>
      <c r="I583" s="4" t="s">
        <v>559</v>
      </c>
      <c r="J583" t="s">
        <v>778</v>
      </c>
      <c r="K583" s="4">
        <v>0.625</v>
      </c>
      <c r="L583" s="4">
        <v>0.67361111111111116</v>
      </c>
      <c r="M583" s="11">
        <f t="shared" si="85"/>
        <v>0</v>
      </c>
      <c r="N583" s="11">
        <f t="shared" si="86"/>
        <v>4.861111111111116E-2</v>
      </c>
      <c r="O583" s="11">
        <f t="shared" si="87"/>
        <v>0</v>
      </c>
      <c r="P583" s="11">
        <f t="shared" si="88"/>
        <v>0</v>
      </c>
      <c r="Q583" s="11"/>
      <c r="R583" s="11"/>
      <c r="S583" s="11"/>
      <c r="T583" s="11"/>
      <c r="X583" s="11">
        <f t="shared" si="89"/>
        <v>4.861111111111116E-2</v>
      </c>
      <c r="Y583" t="s">
        <v>432</v>
      </c>
    </row>
    <row r="584" spans="1:25" x14ac:dyDescent="0.15">
      <c r="A584" s="3">
        <v>40362</v>
      </c>
      <c r="B584" s="3" t="str">
        <f>VLOOKUP(F584, Aircraft!A$2:C$99, 2, FALSE)</f>
        <v>PA28</v>
      </c>
      <c r="C584" t="str">
        <f>VLOOKUP(F584, Aircraft!A$2:C$99, 3, FALSE)</f>
        <v>S</v>
      </c>
      <c r="D584" t="str">
        <f t="shared" si="76"/>
        <v>S</v>
      </c>
      <c r="E584" t="str">
        <f t="shared" si="84"/>
        <v>PA28</v>
      </c>
      <c r="F584" t="s">
        <v>553</v>
      </c>
      <c r="G584" t="s">
        <v>433</v>
      </c>
      <c r="H584" s="2" t="str">
        <f t="shared" si="77"/>
        <v>P1</v>
      </c>
      <c r="I584" s="4" t="s">
        <v>559</v>
      </c>
      <c r="J584" s="4" t="s">
        <v>782</v>
      </c>
      <c r="K584" s="4">
        <v>0.44097222222222227</v>
      </c>
      <c r="L584" s="4">
        <v>0.46875</v>
      </c>
      <c r="M584" s="11">
        <f t="shared" si="85"/>
        <v>2.7777777777777735E-2</v>
      </c>
      <c r="N584" s="11">
        <f t="shared" si="86"/>
        <v>0</v>
      </c>
      <c r="O584" s="11">
        <f t="shared" si="87"/>
        <v>0</v>
      </c>
      <c r="P584" s="11">
        <f t="shared" si="88"/>
        <v>0</v>
      </c>
      <c r="Q584" s="11"/>
      <c r="R584" s="11"/>
      <c r="S584" s="11"/>
      <c r="T584" s="11"/>
      <c r="X584" s="11">
        <f t="shared" si="89"/>
        <v>2.7777777777777735E-2</v>
      </c>
      <c r="Y584" t="s">
        <v>784</v>
      </c>
    </row>
    <row r="585" spans="1:25" x14ac:dyDescent="0.15">
      <c r="A585" s="3">
        <v>40362</v>
      </c>
      <c r="B585" s="3" t="str">
        <f>VLOOKUP(F585, Aircraft!A$2:C$99, 2, FALSE)</f>
        <v>PA28</v>
      </c>
      <c r="C585" t="str">
        <f>VLOOKUP(F585, Aircraft!A$2:C$99, 3, FALSE)</f>
        <v>S</v>
      </c>
      <c r="D585" t="str">
        <f t="shared" si="76"/>
        <v>S</v>
      </c>
      <c r="E585" t="str">
        <f t="shared" si="84"/>
        <v>PA28</v>
      </c>
      <c r="F585" t="s">
        <v>553</v>
      </c>
      <c r="G585" t="s">
        <v>433</v>
      </c>
      <c r="H585" s="2" t="str">
        <f t="shared" si="77"/>
        <v>P1</v>
      </c>
      <c r="I585" s="4" t="s">
        <v>783</v>
      </c>
      <c r="J585" t="s">
        <v>778</v>
      </c>
      <c r="K585" s="4">
        <v>0.52430555555555558</v>
      </c>
      <c r="L585" s="4">
        <v>0.54861111111111105</v>
      </c>
      <c r="M585" s="11">
        <f t="shared" si="85"/>
        <v>2.4305555555555469E-2</v>
      </c>
      <c r="N585" s="11">
        <f t="shared" si="86"/>
        <v>0</v>
      </c>
      <c r="O585" s="11">
        <f t="shared" si="87"/>
        <v>0</v>
      </c>
      <c r="P585" s="11">
        <f t="shared" si="88"/>
        <v>0</v>
      </c>
      <c r="Q585" s="11"/>
      <c r="R585" s="11"/>
      <c r="S585" s="11"/>
      <c r="T585" s="11"/>
      <c r="X585" s="11">
        <f t="shared" si="89"/>
        <v>2.4305555555555469E-2</v>
      </c>
    </row>
    <row r="586" spans="1:25" x14ac:dyDescent="0.15">
      <c r="A586" s="3">
        <v>40369</v>
      </c>
      <c r="B586" s="3" t="str">
        <f>VLOOKUP(F586, Aircraft!A$2:C$99, 2, FALSE)</f>
        <v>PA28</v>
      </c>
      <c r="C586" t="str">
        <f>VLOOKUP(F586, Aircraft!A$2:C$99, 3, FALSE)</f>
        <v>S</v>
      </c>
      <c r="D586" t="str">
        <f t="shared" si="76"/>
        <v>S</v>
      </c>
      <c r="E586" t="str">
        <f t="shared" si="84"/>
        <v>PA28</v>
      </c>
      <c r="F586" t="s">
        <v>266</v>
      </c>
      <c r="G586" t="s">
        <v>191</v>
      </c>
      <c r="H586" s="2" t="str">
        <f t="shared" si="77"/>
        <v>P1</v>
      </c>
      <c r="I586" s="4" t="s">
        <v>102</v>
      </c>
      <c r="J586" t="s">
        <v>497</v>
      </c>
      <c r="K586" s="4">
        <v>0.58333333333333337</v>
      </c>
      <c r="L586" s="4">
        <v>0.64583333333333337</v>
      </c>
      <c r="M586" s="11">
        <f t="shared" si="85"/>
        <v>6.25E-2</v>
      </c>
      <c r="N586" s="11">
        <f t="shared" si="86"/>
        <v>0</v>
      </c>
      <c r="O586" s="11">
        <f t="shared" si="87"/>
        <v>0</v>
      </c>
      <c r="P586" s="11">
        <f t="shared" si="88"/>
        <v>0</v>
      </c>
      <c r="Q586" s="11"/>
      <c r="R586" s="11"/>
      <c r="S586" s="11"/>
      <c r="T586" s="11"/>
      <c r="X586" s="11">
        <f t="shared" si="89"/>
        <v>6.25E-2</v>
      </c>
    </row>
    <row r="587" spans="1:25" x14ac:dyDescent="0.15">
      <c r="A587" s="3">
        <v>40370</v>
      </c>
      <c r="B587" s="3" t="str">
        <f>VLOOKUP(F587, Aircraft!A$2:C$99, 2, FALSE)</f>
        <v>PA28</v>
      </c>
      <c r="C587" t="str">
        <f>VLOOKUP(F587, Aircraft!A$2:C$99, 3, FALSE)</f>
        <v>S</v>
      </c>
      <c r="D587" t="str">
        <f t="shared" si="76"/>
        <v>S</v>
      </c>
      <c r="E587" t="str">
        <f t="shared" si="84"/>
        <v>PA28</v>
      </c>
      <c r="F587" t="s">
        <v>266</v>
      </c>
      <c r="G587" t="s">
        <v>191</v>
      </c>
      <c r="H587" s="2" t="str">
        <f t="shared" si="77"/>
        <v>P1</v>
      </c>
      <c r="I587" s="4" t="s">
        <v>497</v>
      </c>
      <c r="J587" t="s">
        <v>374</v>
      </c>
      <c r="K587" s="4">
        <v>0.3888888888888889</v>
      </c>
      <c r="L587" s="4">
        <v>0.43402777777777773</v>
      </c>
      <c r="M587" s="11">
        <f t="shared" si="85"/>
        <v>4.513888888888884E-2</v>
      </c>
      <c r="N587" s="11">
        <f t="shared" si="86"/>
        <v>0</v>
      </c>
      <c r="O587" s="11">
        <f t="shared" si="87"/>
        <v>0</v>
      </c>
      <c r="P587" s="11">
        <f t="shared" si="88"/>
        <v>0</v>
      </c>
      <c r="Q587" s="11"/>
      <c r="R587" s="11"/>
      <c r="S587" s="11"/>
      <c r="T587" s="11"/>
      <c r="X587" s="11">
        <f t="shared" si="89"/>
        <v>4.513888888888884E-2</v>
      </c>
    </row>
    <row r="588" spans="1:25" x14ac:dyDescent="0.15">
      <c r="A588" s="3">
        <v>40370</v>
      </c>
      <c r="B588" s="3" t="str">
        <f>VLOOKUP(F588, Aircraft!A$2:C$99, 2, FALSE)</f>
        <v>PA28</v>
      </c>
      <c r="C588" t="str">
        <f>VLOOKUP(F588, Aircraft!A$2:C$99, 3, FALSE)</f>
        <v>S</v>
      </c>
      <c r="D588" t="str">
        <f t="shared" si="76"/>
        <v>S</v>
      </c>
      <c r="E588" t="str">
        <f t="shared" si="84"/>
        <v>PA28</v>
      </c>
      <c r="F588" t="s">
        <v>266</v>
      </c>
      <c r="G588" t="s">
        <v>499</v>
      </c>
      <c r="H588" s="2" t="str">
        <f t="shared" si="77"/>
        <v>P1</v>
      </c>
      <c r="I588" s="4" t="s">
        <v>374</v>
      </c>
      <c r="J588" t="s">
        <v>250</v>
      </c>
      <c r="K588" s="4">
        <v>0.44444444444444442</v>
      </c>
      <c r="L588" s="4">
        <v>0.46875</v>
      </c>
      <c r="M588" s="11">
        <f t="shared" si="85"/>
        <v>2.430555555555558E-2</v>
      </c>
      <c r="N588" s="11">
        <f t="shared" si="86"/>
        <v>0</v>
      </c>
      <c r="O588" s="11">
        <f t="shared" si="87"/>
        <v>0</v>
      </c>
      <c r="P588" s="11">
        <f t="shared" si="88"/>
        <v>0</v>
      </c>
      <c r="Q588" s="11"/>
      <c r="R588" s="11"/>
      <c r="S588" s="11"/>
      <c r="T588" s="11"/>
      <c r="X588" s="11">
        <f t="shared" si="89"/>
        <v>2.430555555555558E-2</v>
      </c>
    </row>
    <row r="589" spans="1:25" x14ac:dyDescent="0.15">
      <c r="A589" s="3">
        <v>40418</v>
      </c>
      <c r="B589" s="3" t="str">
        <f>VLOOKUP(F589, Aircraft!A$2:C$99, 2, FALSE)</f>
        <v>PA28</v>
      </c>
      <c r="C589" t="str">
        <f>VLOOKUP(F589, Aircraft!A$2:C$99, 3, FALSE)</f>
        <v>S</v>
      </c>
      <c r="D589" t="str">
        <f t="shared" si="76"/>
        <v>S</v>
      </c>
      <c r="E589" t="str">
        <f t="shared" si="84"/>
        <v>PA28</v>
      </c>
      <c r="F589" t="s">
        <v>534</v>
      </c>
      <c r="G589" t="s">
        <v>500</v>
      </c>
      <c r="H589" s="2" t="str">
        <f t="shared" si="77"/>
        <v>P1</v>
      </c>
      <c r="I589" s="4" t="s">
        <v>778</v>
      </c>
      <c r="J589" t="s">
        <v>779</v>
      </c>
      <c r="K589" s="4">
        <v>0.46875</v>
      </c>
      <c r="L589" s="4">
        <v>0.55555555555555558</v>
      </c>
      <c r="M589" s="11">
        <f t="shared" si="85"/>
        <v>8.680555555555558E-2</v>
      </c>
      <c r="N589" s="11">
        <f t="shared" si="86"/>
        <v>0</v>
      </c>
      <c r="O589" s="11">
        <f t="shared" si="87"/>
        <v>0</v>
      </c>
      <c r="P589" s="11">
        <f t="shared" si="88"/>
        <v>0</v>
      </c>
      <c r="Q589" s="11"/>
      <c r="R589" s="11"/>
      <c r="S589" s="11"/>
      <c r="T589" s="11"/>
      <c r="X589" s="11">
        <f t="shared" si="89"/>
        <v>8.680555555555558E-2</v>
      </c>
      <c r="Y589" t="s">
        <v>113</v>
      </c>
    </row>
    <row r="590" spans="1:25" x14ac:dyDescent="0.15">
      <c r="A590" s="3">
        <v>40419</v>
      </c>
      <c r="B590" s="3" t="str">
        <f>VLOOKUP(F590, Aircraft!A$2:C$99, 2, FALSE)</f>
        <v>PA28</v>
      </c>
      <c r="C590" t="str">
        <f>VLOOKUP(F590, Aircraft!A$2:C$99, 3, FALSE)</f>
        <v>S</v>
      </c>
      <c r="D590" t="str">
        <f t="shared" si="76"/>
        <v>S</v>
      </c>
      <c r="E590" t="str">
        <f t="shared" si="84"/>
        <v>PA28</v>
      </c>
      <c r="F590" t="s">
        <v>534</v>
      </c>
      <c r="G590" t="s">
        <v>780</v>
      </c>
      <c r="H590" s="2" t="str">
        <f t="shared" si="77"/>
        <v>P1</v>
      </c>
      <c r="I590" s="4" t="s">
        <v>779</v>
      </c>
      <c r="J590" t="s">
        <v>778</v>
      </c>
      <c r="K590" s="4">
        <v>0.40972222222222227</v>
      </c>
      <c r="L590" s="4">
        <v>0.47569444444444442</v>
      </c>
      <c r="M590" s="11">
        <f t="shared" si="85"/>
        <v>6.5972222222222154E-2</v>
      </c>
      <c r="N590" s="11">
        <f t="shared" si="86"/>
        <v>0</v>
      </c>
      <c r="O590" s="11">
        <f t="shared" si="87"/>
        <v>0</v>
      </c>
      <c r="P590" s="11">
        <f t="shared" si="88"/>
        <v>0</v>
      </c>
      <c r="Q590" s="11"/>
      <c r="R590" s="11"/>
      <c r="S590" s="11"/>
      <c r="T590" s="11"/>
      <c r="X590" s="11">
        <f t="shared" si="89"/>
        <v>6.5972222222222154E-2</v>
      </c>
      <c r="Y590" t="s">
        <v>781</v>
      </c>
    </row>
    <row r="591" spans="1:25" x14ac:dyDescent="0.15">
      <c r="A591" s="3">
        <v>40467</v>
      </c>
      <c r="B591" s="3" t="str">
        <f>VLOOKUP(F591, Aircraft!A$2:C$99, 2, FALSE)</f>
        <v>PA28</v>
      </c>
      <c r="C591" t="str">
        <f>VLOOKUP(F591, Aircraft!A$2:C$99, 3, FALSE)</f>
        <v>S</v>
      </c>
      <c r="D591" t="str">
        <f t="shared" si="76"/>
        <v>S</v>
      </c>
      <c r="E591" t="s">
        <v>115</v>
      </c>
      <c r="F591" t="s">
        <v>111</v>
      </c>
      <c r="G591" t="s">
        <v>500</v>
      </c>
      <c r="H591" s="2" t="str">
        <f t="shared" si="77"/>
        <v>P1</v>
      </c>
      <c r="I591" s="4" t="s">
        <v>112</v>
      </c>
      <c r="J591" t="s">
        <v>778</v>
      </c>
      <c r="K591" s="4">
        <v>0.59722222222222221</v>
      </c>
      <c r="L591" s="4">
        <v>0.62152777777777779</v>
      </c>
      <c r="M591" s="11">
        <f t="shared" si="85"/>
        <v>2.430555555555558E-2</v>
      </c>
      <c r="N591" s="11">
        <f t="shared" si="86"/>
        <v>0</v>
      </c>
      <c r="O591" s="11">
        <f t="shared" si="87"/>
        <v>0</v>
      </c>
      <c r="P591" s="11">
        <f t="shared" si="88"/>
        <v>0</v>
      </c>
      <c r="Q591" s="11"/>
      <c r="R591" s="11"/>
      <c r="S591" s="11"/>
      <c r="T591" s="11"/>
      <c r="X591" s="11">
        <f t="shared" si="89"/>
        <v>2.430555555555558E-2</v>
      </c>
      <c r="Y591" t="s">
        <v>114</v>
      </c>
    </row>
    <row r="592" spans="1:25" x14ac:dyDescent="0.15">
      <c r="A592" s="3">
        <v>40467</v>
      </c>
      <c r="B592" s="3" t="str">
        <f>VLOOKUP(F592, Aircraft!A$2:C$99, 2, FALSE)</f>
        <v>PA28</v>
      </c>
      <c r="C592" t="str">
        <f>VLOOKUP(F592, Aircraft!A$2:C$99, 3, FALSE)</f>
        <v>S</v>
      </c>
      <c r="D592" t="str">
        <f t="shared" si="76"/>
        <v>S</v>
      </c>
      <c r="E592" t="s">
        <v>116</v>
      </c>
      <c r="F592" t="s">
        <v>117</v>
      </c>
      <c r="G592" t="s">
        <v>118</v>
      </c>
      <c r="H592" s="2" t="str">
        <f t="shared" si="77"/>
        <v>P1</v>
      </c>
      <c r="I592" s="4" t="s">
        <v>119</v>
      </c>
      <c r="J592" t="s">
        <v>121</v>
      </c>
      <c r="K592" s="4">
        <v>0.63194444444444442</v>
      </c>
      <c r="L592" s="4">
        <v>0.69791666666666663</v>
      </c>
      <c r="M592" s="11">
        <f t="shared" si="85"/>
        <v>6.597222222222221E-2</v>
      </c>
      <c r="N592" s="11">
        <f t="shared" si="86"/>
        <v>0</v>
      </c>
      <c r="O592" s="11">
        <f t="shared" si="87"/>
        <v>0</v>
      </c>
      <c r="P592" s="11">
        <f t="shared" si="88"/>
        <v>0</v>
      </c>
      <c r="Q592" s="11"/>
      <c r="R592" s="11"/>
      <c r="S592" s="11"/>
      <c r="T592" s="11"/>
      <c r="X592" s="11">
        <f t="shared" si="89"/>
        <v>6.597222222222221E-2</v>
      </c>
    </row>
    <row r="593" spans="1:25" x14ac:dyDescent="0.15">
      <c r="A593" s="3">
        <v>40468</v>
      </c>
      <c r="B593" s="3" t="str">
        <f>VLOOKUP(F593, Aircraft!A$2:C$99, 2, FALSE)</f>
        <v>PA28</v>
      </c>
      <c r="C593" t="str">
        <f>VLOOKUP(F593, Aircraft!A$2:C$99, 3, FALSE)</f>
        <v>S</v>
      </c>
      <c r="D593" t="str">
        <f t="shared" si="76"/>
        <v>S</v>
      </c>
      <c r="E593" t="s">
        <v>116</v>
      </c>
      <c r="F593" t="s">
        <v>117</v>
      </c>
      <c r="G593" t="s">
        <v>500</v>
      </c>
      <c r="H593" s="2" t="str">
        <f t="shared" si="77"/>
        <v>P1</v>
      </c>
      <c r="I593" s="4" t="s">
        <v>121</v>
      </c>
      <c r="J593" t="s">
        <v>778</v>
      </c>
      <c r="K593" s="4">
        <v>0.61458333333333337</v>
      </c>
      <c r="L593" s="4">
        <v>0.66666666666666663</v>
      </c>
      <c r="M593" s="11">
        <f t="shared" si="85"/>
        <v>5.2083333333333259E-2</v>
      </c>
      <c r="N593" s="11">
        <f t="shared" si="86"/>
        <v>0</v>
      </c>
      <c r="O593" s="11">
        <f t="shared" si="87"/>
        <v>0</v>
      </c>
      <c r="P593" s="11">
        <f t="shared" si="88"/>
        <v>0</v>
      </c>
      <c r="Q593" s="11"/>
      <c r="R593" s="11"/>
      <c r="S593" s="11"/>
      <c r="T593" s="11"/>
      <c r="X593" s="11">
        <f t="shared" si="89"/>
        <v>5.2083333333333259E-2</v>
      </c>
    </row>
    <row r="594" spans="1:25" x14ac:dyDescent="0.15">
      <c r="A594" s="3">
        <v>40481</v>
      </c>
      <c r="B594" s="3" t="str">
        <f>VLOOKUP(F594, Aircraft!A$2:C$99, 2, FALSE)</f>
        <v>PA28</v>
      </c>
      <c r="C594" t="str">
        <f>VLOOKUP(F594, Aircraft!A$2:C$99, 3, FALSE)</f>
        <v>S</v>
      </c>
      <c r="D594" t="str">
        <f t="shared" si="76"/>
        <v>S</v>
      </c>
      <c r="E594" t="str">
        <f t="shared" si="84"/>
        <v>PA28</v>
      </c>
      <c r="F594" t="s">
        <v>534</v>
      </c>
      <c r="G594" t="s">
        <v>90</v>
      </c>
      <c r="H594" s="2" t="str">
        <f t="shared" si="77"/>
        <v>PUT</v>
      </c>
      <c r="I594" s="4" t="s">
        <v>778</v>
      </c>
      <c r="J594" t="s">
        <v>778</v>
      </c>
      <c r="K594" s="4">
        <v>0.4548611111111111</v>
      </c>
      <c r="L594" s="4">
        <v>0.51041666666666663</v>
      </c>
      <c r="M594" s="11">
        <f t="shared" si="85"/>
        <v>0</v>
      </c>
      <c r="N594" s="11">
        <f t="shared" si="86"/>
        <v>5.5555555555555525E-2</v>
      </c>
      <c r="O594" s="11">
        <f t="shared" si="87"/>
        <v>0</v>
      </c>
      <c r="P594" s="11">
        <f t="shared" si="88"/>
        <v>0</v>
      </c>
      <c r="Q594" s="11"/>
      <c r="R594" s="11"/>
      <c r="S594" s="11"/>
      <c r="T594" s="11"/>
      <c r="X594" s="11">
        <f t="shared" si="89"/>
        <v>5.5555555555555525E-2</v>
      </c>
      <c r="Y594" t="s">
        <v>91</v>
      </c>
    </row>
    <row r="595" spans="1:25" x14ac:dyDescent="0.15">
      <c r="A595" s="3">
        <v>40481</v>
      </c>
      <c r="B595" s="3" t="str">
        <f>VLOOKUP(F595, Aircraft!A$2:C$99, 2, FALSE)</f>
        <v>PA28</v>
      </c>
      <c r="C595" t="str">
        <f>VLOOKUP(F595, Aircraft!A$2:C$99, 3, FALSE)</f>
        <v>S</v>
      </c>
      <c r="D595" t="str">
        <f t="shared" si="76"/>
        <v>S</v>
      </c>
      <c r="E595" t="str">
        <f t="shared" si="84"/>
        <v>PA28</v>
      </c>
      <c r="F595" t="s">
        <v>553</v>
      </c>
      <c r="G595" t="s">
        <v>191</v>
      </c>
      <c r="H595" s="2" t="str">
        <f t="shared" si="77"/>
        <v>P1</v>
      </c>
      <c r="I595" s="4" t="s">
        <v>778</v>
      </c>
      <c r="J595" t="s">
        <v>778</v>
      </c>
      <c r="K595" s="4">
        <v>0.61111111111111105</v>
      </c>
      <c r="L595" s="4">
        <v>0.63888888888888895</v>
      </c>
      <c r="M595" s="11">
        <f t="shared" si="85"/>
        <v>2.7777777777777901E-2</v>
      </c>
      <c r="N595" s="11">
        <f t="shared" si="86"/>
        <v>0</v>
      </c>
      <c r="O595" s="11">
        <f t="shared" si="87"/>
        <v>0</v>
      </c>
      <c r="P595" s="11">
        <f t="shared" si="88"/>
        <v>0</v>
      </c>
      <c r="Q595" s="11"/>
      <c r="R595" s="11"/>
      <c r="S595" s="11"/>
      <c r="T595" s="11"/>
      <c r="X595" s="11">
        <f t="shared" si="89"/>
        <v>2.7777777777777901E-2</v>
      </c>
    </row>
    <row r="596" spans="1:25" x14ac:dyDescent="0.15">
      <c r="A596" s="3">
        <v>40685</v>
      </c>
      <c r="B596" s="3" t="str">
        <f>VLOOKUP(F596, Aircraft!A$2:C$99, 2, FALSE)</f>
        <v>PA28</v>
      </c>
      <c r="C596" t="str">
        <f>VLOOKUP(F596, Aircraft!A$2:C$99, 3, FALSE)</f>
        <v>S</v>
      </c>
      <c r="D596" t="str">
        <f t="shared" si="76"/>
        <v>S</v>
      </c>
      <c r="E596" t="str">
        <f t="shared" si="84"/>
        <v>PA28</v>
      </c>
      <c r="F596" t="s">
        <v>552</v>
      </c>
      <c r="G596" t="s">
        <v>557</v>
      </c>
      <c r="H596" s="2" t="str">
        <f t="shared" si="77"/>
        <v>PUT</v>
      </c>
      <c r="I596" s="4" t="s">
        <v>250</v>
      </c>
      <c r="J596" t="s">
        <v>250</v>
      </c>
      <c r="K596" s="4">
        <v>0.64583333333333337</v>
      </c>
      <c r="L596" s="4">
        <v>0.69097222222222221</v>
      </c>
      <c r="M596" s="11">
        <f t="shared" si="85"/>
        <v>0</v>
      </c>
      <c r="N596" s="11">
        <f t="shared" si="86"/>
        <v>4.513888888888884E-2</v>
      </c>
      <c r="O596" s="11">
        <f t="shared" si="87"/>
        <v>0</v>
      </c>
      <c r="P596" s="11">
        <f t="shared" si="88"/>
        <v>0</v>
      </c>
      <c r="Q596" s="11"/>
      <c r="R596" s="11"/>
      <c r="S596" s="11"/>
      <c r="T596" s="11"/>
      <c r="X596" s="11">
        <f t="shared" si="89"/>
        <v>4.513888888888884E-2</v>
      </c>
      <c r="Y596" t="s">
        <v>2695</v>
      </c>
    </row>
    <row r="597" spans="1:25" x14ac:dyDescent="0.15">
      <c r="A597" s="3">
        <v>40782</v>
      </c>
      <c r="B597" s="3" t="str">
        <f>VLOOKUP(F597, Aircraft!A$2:C$99, 2, FALSE)</f>
        <v>PA28</v>
      </c>
      <c r="C597" t="str">
        <f>VLOOKUP(F597, Aircraft!A$2:C$99, 3, FALSE)</f>
        <v>S</v>
      </c>
      <c r="D597" t="str">
        <f t="shared" si="76"/>
        <v>S</v>
      </c>
      <c r="E597" t="str">
        <f t="shared" si="84"/>
        <v>PA28</v>
      </c>
      <c r="F597" t="s">
        <v>553</v>
      </c>
      <c r="G597" t="s">
        <v>500</v>
      </c>
      <c r="H597" s="2" t="str">
        <f t="shared" si="77"/>
        <v>P1</v>
      </c>
      <c r="I597" s="4" t="s">
        <v>250</v>
      </c>
      <c r="J597" t="s">
        <v>250</v>
      </c>
      <c r="K597" s="4">
        <v>0.37847222222222227</v>
      </c>
      <c r="L597" s="4">
        <v>0.44791666666666669</v>
      </c>
      <c r="M597" s="11">
        <f t="shared" si="85"/>
        <v>6.944444444444442E-2</v>
      </c>
      <c r="N597" s="11">
        <f t="shared" si="86"/>
        <v>0</v>
      </c>
      <c r="O597" s="11">
        <f t="shared" si="87"/>
        <v>0</v>
      </c>
      <c r="P597" s="11">
        <f t="shared" si="88"/>
        <v>0</v>
      </c>
      <c r="Q597" s="11"/>
      <c r="R597" s="11"/>
      <c r="S597" s="11"/>
      <c r="T597" s="11"/>
      <c r="X597" s="11">
        <f t="shared" si="89"/>
        <v>6.944444444444442E-2</v>
      </c>
      <c r="Y597" t="s">
        <v>78</v>
      </c>
    </row>
    <row r="598" spans="1:25" x14ac:dyDescent="0.15">
      <c r="A598" s="3">
        <v>40784</v>
      </c>
      <c r="B598" s="3" t="str">
        <f>VLOOKUP(F598, Aircraft!A$2:C$99, 2, FALSE)</f>
        <v>PA28</v>
      </c>
      <c r="C598" t="str">
        <f>VLOOKUP(F598, Aircraft!A$2:C$99, 3, FALSE)</f>
        <v>S</v>
      </c>
      <c r="D598" t="str">
        <f t="shared" si="76"/>
        <v>S</v>
      </c>
      <c r="E598" t="str">
        <f t="shared" si="84"/>
        <v>PA28</v>
      </c>
      <c r="F598" t="s">
        <v>553</v>
      </c>
      <c r="G598" t="s">
        <v>500</v>
      </c>
      <c r="H598" s="2" t="str">
        <f t="shared" si="77"/>
        <v>P1</v>
      </c>
      <c r="I598" s="4" t="s">
        <v>778</v>
      </c>
      <c r="J598" t="s">
        <v>61</v>
      </c>
      <c r="K598" s="4">
        <v>0.42708333333333331</v>
      </c>
      <c r="L598" s="4">
        <v>0.46875</v>
      </c>
      <c r="M598" s="11">
        <f t="shared" si="85"/>
        <v>4.1666666666666685E-2</v>
      </c>
      <c r="N598" s="11">
        <f t="shared" si="86"/>
        <v>0</v>
      </c>
      <c r="O598" s="11">
        <f t="shared" si="87"/>
        <v>0</v>
      </c>
      <c r="P598" s="11">
        <f t="shared" si="88"/>
        <v>0</v>
      </c>
      <c r="Q598" s="11"/>
      <c r="R598" s="11"/>
      <c r="S598" s="11"/>
      <c r="T598" s="11"/>
      <c r="X598" s="11">
        <f t="shared" si="89"/>
        <v>4.1666666666666685E-2</v>
      </c>
      <c r="Y598" t="s">
        <v>2630</v>
      </c>
    </row>
    <row r="599" spans="1:25" x14ac:dyDescent="0.15">
      <c r="A599" s="3">
        <v>40784</v>
      </c>
      <c r="B599" s="3" t="str">
        <f>VLOOKUP(F599, Aircraft!A$2:C$99, 2, FALSE)</f>
        <v>PA28</v>
      </c>
      <c r="C599" t="str">
        <f>VLOOKUP(F599, Aircraft!A$2:C$99, 3, FALSE)</f>
        <v>S</v>
      </c>
      <c r="D599" t="str">
        <f t="shared" si="76"/>
        <v>S</v>
      </c>
      <c r="E599" t="str">
        <f t="shared" si="84"/>
        <v>PA28</v>
      </c>
      <c r="F599" t="s">
        <v>553</v>
      </c>
      <c r="G599" t="s">
        <v>500</v>
      </c>
      <c r="H599" s="2" t="str">
        <f t="shared" si="77"/>
        <v>P1</v>
      </c>
      <c r="I599" s="4" t="s">
        <v>61</v>
      </c>
      <c r="J599" t="s">
        <v>778</v>
      </c>
      <c r="K599" s="4">
        <v>0.52777777777777779</v>
      </c>
      <c r="L599" s="4">
        <v>0.57291666666666663</v>
      </c>
      <c r="M599" s="11">
        <f t="shared" si="85"/>
        <v>4.513888888888884E-2</v>
      </c>
      <c r="N599" s="11">
        <f t="shared" si="86"/>
        <v>0</v>
      </c>
      <c r="O599" s="11">
        <f t="shared" si="87"/>
        <v>0</v>
      </c>
      <c r="P599" s="11">
        <f t="shared" si="88"/>
        <v>0</v>
      </c>
      <c r="Q599" s="11"/>
      <c r="R599" s="11"/>
      <c r="S599" s="11"/>
      <c r="T599" s="11"/>
      <c r="X599" s="11">
        <f t="shared" si="89"/>
        <v>4.513888888888884E-2</v>
      </c>
    </row>
    <row r="600" spans="1:25" x14ac:dyDescent="0.15">
      <c r="A600" s="3">
        <v>40832</v>
      </c>
      <c r="B600" s="3" t="str">
        <f>VLOOKUP(F600, Aircraft!A$2:C$99, 2, FALSE)</f>
        <v>PA28</v>
      </c>
      <c r="C600" t="str">
        <f>VLOOKUP(F600, Aircraft!A$2:C$99, 3, FALSE)</f>
        <v>S</v>
      </c>
      <c r="D600" t="str">
        <f t="shared" si="76"/>
        <v>S</v>
      </c>
      <c r="E600" t="str">
        <f t="shared" si="84"/>
        <v>PA28</v>
      </c>
      <c r="F600" t="s">
        <v>553</v>
      </c>
      <c r="G600" t="s">
        <v>33</v>
      </c>
      <c r="H600" s="2" t="str">
        <f t="shared" si="77"/>
        <v>P1</v>
      </c>
      <c r="I600" s="4" t="s">
        <v>29</v>
      </c>
      <c r="J600" t="s">
        <v>30</v>
      </c>
      <c r="K600" s="4">
        <v>0.44097222222222227</v>
      </c>
      <c r="L600" s="4">
        <v>0.50694444444444442</v>
      </c>
      <c r="M600" s="11">
        <f t="shared" si="85"/>
        <v>6.5972222222222154E-2</v>
      </c>
      <c r="N600" s="11">
        <f t="shared" si="86"/>
        <v>0</v>
      </c>
      <c r="O600" s="11">
        <f t="shared" si="87"/>
        <v>0</v>
      </c>
      <c r="P600" s="11">
        <f t="shared" si="88"/>
        <v>0</v>
      </c>
      <c r="Q600" s="11"/>
      <c r="R600" s="11"/>
      <c r="S600" s="11"/>
      <c r="T600" s="11"/>
      <c r="U600" s="27">
        <v>0.2</v>
      </c>
      <c r="X600" s="11">
        <f t="shared" si="89"/>
        <v>6.5972222222222154E-2</v>
      </c>
      <c r="Y600" t="s">
        <v>31</v>
      </c>
    </row>
    <row r="601" spans="1:25" x14ac:dyDescent="0.15">
      <c r="A601" s="3">
        <v>40832</v>
      </c>
      <c r="B601" s="3" t="str">
        <f>VLOOKUP(F601, Aircraft!A$2:C$99, 2, FALSE)</f>
        <v>PA28</v>
      </c>
      <c r="C601" t="str">
        <f>VLOOKUP(F601, Aircraft!A$2:C$99, 3, FALSE)</f>
        <v>S</v>
      </c>
      <c r="D601" t="str">
        <f t="shared" si="76"/>
        <v>S</v>
      </c>
      <c r="E601" t="s">
        <v>116</v>
      </c>
      <c r="F601" t="s">
        <v>32</v>
      </c>
      <c r="G601" t="s">
        <v>34</v>
      </c>
      <c r="H601" s="2" t="str">
        <f t="shared" si="77"/>
        <v>P1</v>
      </c>
      <c r="I601" s="4" t="s">
        <v>30</v>
      </c>
      <c r="J601" t="s">
        <v>778</v>
      </c>
      <c r="K601" s="4">
        <v>0.63194444444444442</v>
      </c>
      <c r="L601" s="4">
        <v>0.69097222222222221</v>
      </c>
      <c r="M601" s="11">
        <f t="shared" si="85"/>
        <v>5.902777777777779E-2</v>
      </c>
      <c r="N601" s="11">
        <f t="shared" si="86"/>
        <v>0</v>
      </c>
      <c r="O601" s="11">
        <f t="shared" si="87"/>
        <v>0</v>
      </c>
      <c r="P601" s="11">
        <f t="shared" si="88"/>
        <v>0</v>
      </c>
      <c r="Q601" s="11"/>
      <c r="R601" s="11"/>
      <c r="S601" s="11"/>
      <c r="T601" s="11"/>
      <c r="X601" s="11">
        <f t="shared" si="89"/>
        <v>5.902777777777779E-2</v>
      </c>
    </row>
    <row r="602" spans="1:25" x14ac:dyDescent="0.15">
      <c r="A602" s="30">
        <v>41176</v>
      </c>
      <c r="B602" s="31" t="s">
        <v>412</v>
      </c>
      <c r="C602" s="31" t="s">
        <v>408</v>
      </c>
      <c r="D602" s="31" t="s">
        <v>408</v>
      </c>
      <c r="E602" s="31" t="s">
        <v>412</v>
      </c>
      <c r="F602" s="31" t="s">
        <v>552</v>
      </c>
      <c r="G602" s="31" t="s">
        <v>133</v>
      </c>
      <c r="H602" s="2" t="str">
        <f t="shared" si="77"/>
        <v>PUT</v>
      </c>
      <c r="I602" s="31" t="s">
        <v>250</v>
      </c>
      <c r="J602" s="31" t="s">
        <v>250</v>
      </c>
      <c r="K602" s="32">
        <v>0.63194444444444442</v>
      </c>
      <c r="L602" s="32">
        <v>0.65972222222222221</v>
      </c>
      <c r="M602" s="11">
        <f t="shared" si="85"/>
        <v>0</v>
      </c>
      <c r="N602" s="11">
        <f t="shared" si="86"/>
        <v>2.777777777777779E-2</v>
      </c>
      <c r="O602" s="11">
        <f t="shared" si="87"/>
        <v>0</v>
      </c>
      <c r="P602" s="11">
        <f t="shared" si="88"/>
        <v>0</v>
      </c>
      <c r="Q602" s="11"/>
      <c r="R602" s="11"/>
      <c r="S602" s="11"/>
      <c r="T602" s="11"/>
      <c r="X602" s="11">
        <f t="shared" si="89"/>
        <v>2.777777777777779E-2</v>
      </c>
    </row>
    <row r="603" spans="1:25" x14ac:dyDescent="0.15">
      <c r="A603" s="30">
        <v>41524</v>
      </c>
      <c r="B603" s="31" t="s">
        <v>97</v>
      </c>
      <c r="C603" s="31" t="s">
        <v>408</v>
      </c>
      <c r="D603" s="31" t="s">
        <v>408</v>
      </c>
      <c r="E603" s="31" t="s">
        <v>97</v>
      </c>
      <c r="F603" s="31" t="s">
        <v>38</v>
      </c>
      <c r="G603" s="31" t="s">
        <v>133</v>
      </c>
      <c r="H603" s="2" t="str">
        <f t="shared" si="77"/>
        <v>PUT</v>
      </c>
      <c r="I603" s="31" t="s">
        <v>250</v>
      </c>
      <c r="J603" s="31" t="s">
        <v>250</v>
      </c>
      <c r="K603" s="32">
        <v>0.66319444444444442</v>
      </c>
      <c r="L603" s="32">
        <v>0.70486111111111116</v>
      </c>
      <c r="M603" s="11">
        <f t="shared" si="85"/>
        <v>0</v>
      </c>
      <c r="N603" s="11">
        <f t="shared" si="86"/>
        <v>4.1666666666666741E-2</v>
      </c>
      <c r="O603" s="11">
        <f t="shared" si="87"/>
        <v>0</v>
      </c>
      <c r="P603" s="11">
        <f t="shared" si="88"/>
        <v>0</v>
      </c>
      <c r="Q603" s="11"/>
      <c r="R603" s="11"/>
      <c r="S603" s="11"/>
      <c r="T603" s="11"/>
      <c r="X603" s="11">
        <f t="shared" si="89"/>
        <v>4.1666666666666741E-2</v>
      </c>
    </row>
    <row r="604" spans="1:25" x14ac:dyDescent="0.15">
      <c r="A604" s="3">
        <v>44325</v>
      </c>
      <c r="B604" s="3" t="str">
        <f>VLOOKUP(F604, Aircraft!A$2:C$99, 2, FALSE)</f>
        <v>PA28</v>
      </c>
      <c r="C604" t="str">
        <f>VLOOKUP(F604, Aircraft!A$2:C$99, 3, FALSE)</f>
        <v>S</v>
      </c>
      <c r="D604" t="str">
        <f t="shared" ref="D604:D616" si="90">IF(ISNA(C604), "", C604)</f>
        <v>S</v>
      </c>
      <c r="E604" s="33" t="s">
        <v>412</v>
      </c>
      <c r="F604" s="33" t="s">
        <v>2696</v>
      </c>
      <c r="G604" s="33" t="s">
        <v>2698</v>
      </c>
      <c r="H604" s="2" t="str">
        <f t="shared" si="77"/>
        <v>PUT</v>
      </c>
      <c r="I604" s="4" t="s">
        <v>25</v>
      </c>
      <c r="J604" s="33" t="s">
        <v>25</v>
      </c>
      <c r="K604" s="4">
        <v>0.36458333333333331</v>
      </c>
      <c r="L604" s="4">
        <v>0.40625</v>
      </c>
      <c r="M604" s="11">
        <f t="shared" si="85"/>
        <v>0</v>
      </c>
      <c r="N604" s="11">
        <f t="shared" si="86"/>
        <v>4.1666666666666685E-2</v>
      </c>
      <c r="O604" s="11">
        <f t="shared" si="87"/>
        <v>0</v>
      </c>
      <c r="P604" s="11">
        <f t="shared" si="88"/>
        <v>0</v>
      </c>
      <c r="Q604" s="11"/>
      <c r="R604" s="11"/>
      <c r="S604" s="11"/>
      <c r="T604" s="11"/>
      <c r="X604" s="11">
        <f t="shared" si="89"/>
        <v>4.1666666666666685E-2</v>
      </c>
      <c r="Y604" s="33" t="s">
        <v>2697</v>
      </c>
    </row>
    <row r="605" spans="1:25" x14ac:dyDescent="0.15">
      <c r="A605" s="3">
        <v>44331</v>
      </c>
      <c r="B605" s="3" t="str">
        <f>VLOOKUP(F605, Aircraft!A$2:C$99, 2, FALSE)</f>
        <v>PA28</v>
      </c>
      <c r="C605" t="str">
        <f>VLOOKUP(F605, Aircraft!A$2:C$99, 3, FALSE)</f>
        <v>S</v>
      </c>
      <c r="D605" t="str">
        <f t="shared" si="90"/>
        <v>S</v>
      </c>
      <c r="E605" t="str">
        <f t="shared" si="84"/>
        <v>PA28</v>
      </c>
      <c r="F605" s="33" t="s">
        <v>2703</v>
      </c>
      <c r="G605" s="33" t="s">
        <v>2698</v>
      </c>
      <c r="H605" s="2" t="str">
        <f t="shared" si="77"/>
        <v>PUT</v>
      </c>
      <c r="I605" s="4" t="s">
        <v>25</v>
      </c>
      <c r="J605" s="33" t="s">
        <v>25</v>
      </c>
      <c r="K605" s="4">
        <v>0.47569444444444442</v>
      </c>
      <c r="L605" s="4">
        <v>0.51388888888888895</v>
      </c>
      <c r="M605" s="11">
        <f t="shared" si="85"/>
        <v>0</v>
      </c>
      <c r="N605" s="11">
        <f t="shared" si="86"/>
        <v>3.8194444444444531E-2</v>
      </c>
      <c r="O605" s="11">
        <f t="shared" si="87"/>
        <v>0</v>
      </c>
      <c r="P605" s="11">
        <f t="shared" si="88"/>
        <v>0</v>
      </c>
      <c r="Q605" s="11"/>
      <c r="R605" s="11"/>
      <c r="S605" s="11"/>
      <c r="T605" s="11"/>
      <c r="X605" s="11">
        <f t="shared" si="89"/>
        <v>3.8194444444444531E-2</v>
      </c>
      <c r="Y605" t="s">
        <v>2704</v>
      </c>
    </row>
    <row r="606" spans="1:25" x14ac:dyDescent="0.15">
      <c r="A606" s="3">
        <v>44345</v>
      </c>
      <c r="B606" s="3" t="str">
        <f>VLOOKUP(F606, Aircraft!A$2:C$99, 2, FALSE)</f>
        <v>PA28</v>
      </c>
      <c r="C606" t="str">
        <f>VLOOKUP(F606, Aircraft!A$2:C$99, 3, FALSE)</f>
        <v>S</v>
      </c>
      <c r="D606" t="str">
        <f t="shared" si="90"/>
        <v>S</v>
      </c>
      <c r="E606" t="str">
        <f t="shared" si="84"/>
        <v>PA28</v>
      </c>
      <c r="F606" t="s">
        <v>2699</v>
      </c>
      <c r="G606" t="s">
        <v>2698</v>
      </c>
      <c r="H606" s="2" t="str">
        <f t="shared" si="77"/>
        <v>PUT</v>
      </c>
      <c r="I606" t="s">
        <v>25</v>
      </c>
      <c r="J606" t="s">
        <v>751</v>
      </c>
      <c r="K606" s="4">
        <v>0.47569444444444442</v>
      </c>
      <c r="L606" s="4">
        <v>0.50694444444444442</v>
      </c>
      <c r="M606" s="11">
        <f t="shared" si="85"/>
        <v>0</v>
      </c>
      <c r="N606" s="11">
        <f t="shared" si="86"/>
        <v>3.125E-2</v>
      </c>
      <c r="O606" s="11">
        <f t="shared" si="87"/>
        <v>0</v>
      </c>
      <c r="P606" s="11">
        <f t="shared" si="88"/>
        <v>0</v>
      </c>
      <c r="Q606" s="11"/>
      <c r="R606" s="11"/>
      <c r="S606" s="11"/>
      <c r="T606" s="11"/>
      <c r="X606" s="11">
        <f t="shared" si="89"/>
        <v>3.125E-2</v>
      </c>
      <c r="Y606" t="s">
        <v>2700</v>
      </c>
    </row>
    <row r="607" spans="1:25" x14ac:dyDescent="0.15">
      <c r="A607" s="3">
        <v>44345</v>
      </c>
      <c r="B607" s="3" t="str">
        <f>VLOOKUP(F607, Aircraft!A$2:C$99, 2, FALSE)</f>
        <v>PA28</v>
      </c>
      <c r="C607" t="str">
        <f>VLOOKUP(F607, Aircraft!A$2:C$99, 3, FALSE)</f>
        <v>S</v>
      </c>
      <c r="D607" t="str">
        <f t="shared" si="90"/>
        <v>S</v>
      </c>
      <c r="E607" t="str">
        <f t="shared" si="84"/>
        <v>PA28</v>
      </c>
      <c r="F607" t="s">
        <v>2699</v>
      </c>
      <c r="G607" t="s">
        <v>2698</v>
      </c>
      <c r="H607" s="2" t="str">
        <f t="shared" si="77"/>
        <v>PUT</v>
      </c>
      <c r="I607" t="s">
        <v>2701</v>
      </c>
      <c r="J607" t="s">
        <v>25</v>
      </c>
      <c r="K607" s="4">
        <v>0.54861111111111105</v>
      </c>
      <c r="L607" s="4">
        <v>0.58680555555555558</v>
      </c>
      <c r="M607" s="11">
        <f t="shared" si="85"/>
        <v>0</v>
      </c>
      <c r="N607" s="11">
        <f t="shared" si="86"/>
        <v>3.8194444444444531E-2</v>
      </c>
      <c r="O607" s="11">
        <f t="shared" si="87"/>
        <v>0</v>
      </c>
      <c r="P607" s="11">
        <f t="shared" si="88"/>
        <v>0</v>
      </c>
      <c r="Q607" s="11"/>
      <c r="R607" s="11"/>
      <c r="S607" s="11"/>
      <c r="T607" s="11"/>
      <c r="X607" s="11">
        <f t="shared" si="89"/>
        <v>3.8194444444444531E-2</v>
      </c>
      <c r="Y607" t="s">
        <v>2702</v>
      </c>
    </row>
    <row r="608" spans="1:25" x14ac:dyDescent="0.15">
      <c r="B608" s="3" t="e">
        <f>VLOOKUP(F608, Aircraft!A$2:C$99, 2, FALSE)</f>
        <v>#N/A</v>
      </c>
      <c r="C608" t="e">
        <f>VLOOKUP(F608, Aircraft!A$2:C$99, 3, FALSE)</f>
        <v>#N/A</v>
      </c>
      <c r="D608" t="str">
        <f t="shared" si="90"/>
        <v/>
      </c>
      <c r="E608" t="str">
        <f t="shared" si="84"/>
        <v/>
      </c>
      <c r="H608" s="2" t="str">
        <f t="shared" si="77"/>
        <v/>
      </c>
      <c r="M608" s="11">
        <f t="shared" si="85"/>
        <v>0</v>
      </c>
      <c r="N608" s="11">
        <f t="shared" si="86"/>
        <v>0</v>
      </c>
      <c r="O608" s="11">
        <f t="shared" si="87"/>
        <v>0</v>
      </c>
      <c r="P608" s="11">
        <f t="shared" si="88"/>
        <v>0</v>
      </c>
      <c r="Q608" s="11"/>
      <c r="R608" s="11"/>
      <c r="S608" s="11"/>
      <c r="T608" s="11"/>
      <c r="X608" s="11">
        <f t="shared" si="89"/>
        <v>0</v>
      </c>
    </row>
    <row r="609" spans="2:24" x14ac:dyDescent="0.15">
      <c r="B609" s="3" t="e">
        <f>VLOOKUP(F609, Aircraft!A$2:C$99, 2, FALSE)</f>
        <v>#N/A</v>
      </c>
      <c r="C609" t="e">
        <f>VLOOKUP(F609, Aircraft!A$2:C$99, 3, FALSE)</f>
        <v>#N/A</v>
      </c>
      <c r="D609" t="str">
        <f t="shared" si="90"/>
        <v/>
      </c>
      <c r="E609" t="str">
        <f t="shared" si="84"/>
        <v/>
      </c>
      <c r="H609" s="2" t="str">
        <f t="shared" si="77"/>
        <v/>
      </c>
      <c r="M609" s="11">
        <f t="shared" si="85"/>
        <v>0</v>
      </c>
      <c r="N609" s="11">
        <f t="shared" si="86"/>
        <v>0</v>
      </c>
      <c r="O609" s="11">
        <f t="shared" si="87"/>
        <v>0</v>
      </c>
      <c r="P609" s="11">
        <f t="shared" si="88"/>
        <v>0</v>
      </c>
      <c r="Q609" s="11"/>
      <c r="R609" s="11"/>
      <c r="S609" s="11"/>
      <c r="T609" s="11"/>
      <c r="X609" s="11">
        <f t="shared" si="89"/>
        <v>0</v>
      </c>
    </row>
    <row r="610" spans="2:24" x14ac:dyDescent="0.15">
      <c r="B610" s="3" t="e">
        <f>VLOOKUP(F610, Aircraft!A$2:C$99, 2, FALSE)</f>
        <v>#N/A</v>
      </c>
      <c r="C610" t="e">
        <f>VLOOKUP(F610, Aircraft!A$2:C$99, 3, FALSE)</f>
        <v>#N/A</v>
      </c>
      <c r="D610" t="str">
        <f t="shared" si="90"/>
        <v/>
      </c>
      <c r="E610" t="str">
        <f t="shared" si="84"/>
        <v/>
      </c>
      <c r="H610" s="2" t="str">
        <f t="shared" si="77"/>
        <v/>
      </c>
      <c r="M610" s="11">
        <f t="shared" si="85"/>
        <v>0</v>
      </c>
      <c r="N610" s="11">
        <f t="shared" si="86"/>
        <v>0</v>
      </c>
      <c r="O610" s="11">
        <f t="shared" si="87"/>
        <v>0</v>
      </c>
      <c r="P610" s="11">
        <f t="shared" si="88"/>
        <v>0</v>
      </c>
      <c r="Q610" s="11"/>
      <c r="R610" s="11"/>
      <c r="S610" s="11"/>
      <c r="T610" s="11"/>
      <c r="X610" s="11">
        <f t="shared" si="89"/>
        <v>0</v>
      </c>
    </row>
    <row r="611" spans="2:24" x14ac:dyDescent="0.15">
      <c r="B611" s="3" t="e">
        <f>VLOOKUP(F611, Aircraft!A$2:C$99, 2, FALSE)</f>
        <v>#N/A</v>
      </c>
      <c r="C611" t="e">
        <f>VLOOKUP(F611, Aircraft!A$2:C$99, 3, FALSE)</f>
        <v>#N/A</v>
      </c>
      <c r="D611" t="str">
        <f t="shared" si="90"/>
        <v/>
      </c>
      <c r="E611" t="str">
        <f t="shared" si="84"/>
        <v/>
      </c>
      <c r="H611" s="2" t="str">
        <f t="shared" si="77"/>
        <v/>
      </c>
      <c r="M611" s="11">
        <f t="shared" si="85"/>
        <v>0</v>
      </c>
      <c r="N611" s="11">
        <f t="shared" si="86"/>
        <v>0</v>
      </c>
      <c r="O611" s="11">
        <f t="shared" si="87"/>
        <v>0</v>
      </c>
      <c r="P611" s="11">
        <f t="shared" si="88"/>
        <v>0</v>
      </c>
      <c r="Q611" s="11"/>
      <c r="R611" s="11"/>
      <c r="S611" s="11"/>
      <c r="T611" s="11"/>
      <c r="X611" s="11">
        <f t="shared" si="89"/>
        <v>0</v>
      </c>
    </row>
    <row r="612" spans="2:24" x14ac:dyDescent="0.15">
      <c r="B612" s="3" t="e">
        <f>VLOOKUP(F612, Aircraft!A$2:C$99, 2, FALSE)</f>
        <v>#N/A</v>
      </c>
      <c r="C612" t="e">
        <f>VLOOKUP(F612, Aircraft!A$2:C$99, 3, FALSE)</f>
        <v>#N/A</v>
      </c>
      <c r="D612" t="str">
        <f t="shared" si="90"/>
        <v/>
      </c>
      <c r="E612" t="str">
        <f t="shared" si="84"/>
        <v/>
      </c>
      <c r="H612" s="2" t="str">
        <f t="shared" si="77"/>
        <v/>
      </c>
      <c r="M612" s="11">
        <f t="shared" si="85"/>
        <v>0</v>
      </c>
      <c r="N612" s="11">
        <f t="shared" si="86"/>
        <v>0</v>
      </c>
      <c r="O612" s="11">
        <f t="shared" si="87"/>
        <v>0</v>
      </c>
      <c r="P612" s="11">
        <f t="shared" si="88"/>
        <v>0</v>
      </c>
      <c r="Q612" s="11"/>
      <c r="R612" s="11"/>
      <c r="S612" s="11"/>
      <c r="T612" s="11"/>
      <c r="X612" s="11">
        <f t="shared" si="89"/>
        <v>0</v>
      </c>
    </row>
    <row r="613" spans="2:24" x14ac:dyDescent="0.15">
      <c r="B613" s="3" t="e">
        <f>VLOOKUP(F613, Aircraft!A$2:C$99, 2, FALSE)</f>
        <v>#N/A</v>
      </c>
      <c r="C613" t="e">
        <f>VLOOKUP(F613, Aircraft!A$2:C$99, 3, FALSE)</f>
        <v>#N/A</v>
      </c>
      <c r="D613" t="str">
        <f t="shared" si="90"/>
        <v/>
      </c>
      <c r="E613" t="str">
        <f t="shared" si="84"/>
        <v/>
      </c>
      <c r="H613" s="2" t="str">
        <f t="shared" si="77"/>
        <v/>
      </c>
      <c r="M613" s="11">
        <f t="shared" si="85"/>
        <v>0</v>
      </c>
      <c r="N613" s="11">
        <f t="shared" si="86"/>
        <v>0</v>
      </c>
      <c r="O613" s="11">
        <f t="shared" si="87"/>
        <v>0</v>
      </c>
      <c r="P613" s="11">
        <f t="shared" si="88"/>
        <v>0</v>
      </c>
      <c r="Q613" s="11"/>
      <c r="R613" s="11"/>
      <c r="S613" s="11"/>
      <c r="T613" s="11"/>
      <c r="X613" s="11">
        <f t="shared" si="89"/>
        <v>0</v>
      </c>
    </row>
    <row r="614" spans="2:24" x14ac:dyDescent="0.15">
      <c r="B614" s="3" t="e">
        <f>VLOOKUP(F614, Aircraft!A$2:C$99, 2, FALSE)</f>
        <v>#N/A</v>
      </c>
      <c r="C614" t="e">
        <f>VLOOKUP(F614, Aircraft!A$2:C$99, 3, FALSE)</f>
        <v>#N/A</v>
      </c>
      <c r="D614" t="str">
        <f t="shared" si="90"/>
        <v/>
      </c>
      <c r="E614" t="str">
        <f t="shared" si="84"/>
        <v/>
      </c>
      <c r="H614" s="2" t="str">
        <f t="shared" si="77"/>
        <v/>
      </c>
      <c r="M614" s="11">
        <f t="shared" si="85"/>
        <v>0</v>
      </c>
      <c r="N614" s="11">
        <f t="shared" si="86"/>
        <v>0</v>
      </c>
      <c r="O614" s="11">
        <f t="shared" si="87"/>
        <v>0</v>
      </c>
      <c r="P614" s="11">
        <f t="shared" si="88"/>
        <v>0</v>
      </c>
      <c r="Q614" s="11"/>
      <c r="R614" s="11"/>
      <c r="S614" s="11"/>
      <c r="T614" s="11"/>
      <c r="X614" s="11">
        <f t="shared" si="89"/>
        <v>0</v>
      </c>
    </row>
    <row r="615" spans="2:24" x14ac:dyDescent="0.15">
      <c r="B615" s="3" t="e">
        <f>VLOOKUP(F615, Aircraft!A$2:C$99, 2, FALSE)</f>
        <v>#N/A</v>
      </c>
      <c r="C615" t="e">
        <f>VLOOKUP(F615, Aircraft!A$2:C$99, 3, FALSE)</f>
        <v>#N/A</v>
      </c>
      <c r="D615" t="str">
        <f t="shared" si="90"/>
        <v/>
      </c>
      <c r="E615" t="str">
        <f t="shared" si="84"/>
        <v/>
      </c>
      <c r="H615" s="2" t="str">
        <f t="shared" si="77"/>
        <v/>
      </c>
      <c r="M615" s="11">
        <f t="shared" si="85"/>
        <v>0</v>
      </c>
      <c r="N615" s="11">
        <f t="shared" si="86"/>
        <v>0</v>
      </c>
      <c r="O615" s="11">
        <f t="shared" si="87"/>
        <v>0</v>
      </c>
      <c r="P615" s="11">
        <f t="shared" si="88"/>
        <v>0</v>
      </c>
      <c r="Q615" s="11"/>
      <c r="R615" s="11"/>
      <c r="S615" s="11"/>
      <c r="T615" s="11"/>
      <c r="X615" s="11">
        <f t="shared" si="89"/>
        <v>0</v>
      </c>
    </row>
    <row r="616" spans="2:24" x14ac:dyDescent="0.15">
      <c r="B616" s="3" t="e">
        <f>VLOOKUP(F616, Aircraft!A$2:C$99, 2, FALSE)</f>
        <v>#N/A</v>
      </c>
      <c r="C616" t="e">
        <f>VLOOKUP(F616, Aircraft!A$2:C$99, 3, FALSE)</f>
        <v>#N/A</v>
      </c>
      <c r="D616" t="str">
        <f t="shared" si="90"/>
        <v/>
      </c>
      <c r="E616" t="str">
        <f t="shared" si="84"/>
        <v/>
      </c>
      <c r="H616" s="2" t="str">
        <f t="shared" si="77"/>
        <v/>
      </c>
      <c r="M616" s="11">
        <f t="shared" si="85"/>
        <v>0</v>
      </c>
      <c r="N616" s="11">
        <f t="shared" si="86"/>
        <v>0</v>
      </c>
      <c r="O616" s="11">
        <f t="shared" si="87"/>
        <v>0</v>
      </c>
      <c r="P616" s="11">
        <f t="shared" si="88"/>
        <v>0</v>
      </c>
      <c r="Q616" s="11"/>
      <c r="R616" s="11"/>
      <c r="S616" s="11"/>
      <c r="T616" s="11"/>
      <c r="X616" s="11">
        <f t="shared" si="89"/>
        <v>0</v>
      </c>
    </row>
    <row r="617" spans="2:24" x14ac:dyDescent="0.15">
      <c r="X617" s="11">
        <f t="shared" ref="X617:X655" si="91">SUM(M617:S617)</f>
        <v>0</v>
      </c>
    </row>
    <row r="618" spans="2:24" x14ac:dyDescent="0.15">
      <c r="X618" s="11">
        <f t="shared" si="91"/>
        <v>0</v>
      </c>
    </row>
    <row r="619" spans="2:24" x14ac:dyDescent="0.15">
      <c r="X619" s="11">
        <f t="shared" si="91"/>
        <v>0</v>
      </c>
    </row>
    <row r="620" spans="2:24" x14ac:dyDescent="0.15">
      <c r="X620" s="11">
        <f t="shared" si="91"/>
        <v>0</v>
      </c>
    </row>
    <row r="621" spans="2:24" x14ac:dyDescent="0.15">
      <c r="X621" s="11">
        <f t="shared" si="91"/>
        <v>0</v>
      </c>
    </row>
    <row r="622" spans="2:24" x14ac:dyDescent="0.15">
      <c r="X622" s="11">
        <f t="shared" si="91"/>
        <v>0</v>
      </c>
    </row>
    <row r="623" spans="2:24" x14ac:dyDescent="0.15">
      <c r="X623" s="11">
        <f t="shared" si="91"/>
        <v>0</v>
      </c>
    </row>
    <row r="624" spans="2:24" x14ac:dyDescent="0.15">
      <c r="X624" s="11">
        <f t="shared" si="91"/>
        <v>0</v>
      </c>
    </row>
    <row r="625" spans="24:24" x14ac:dyDescent="0.15">
      <c r="X625" s="11">
        <f t="shared" si="91"/>
        <v>0</v>
      </c>
    </row>
    <row r="626" spans="24:24" x14ac:dyDescent="0.15">
      <c r="X626" s="11">
        <f t="shared" si="91"/>
        <v>0</v>
      </c>
    </row>
    <row r="627" spans="24:24" x14ac:dyDescent="0.15">
      <c r="X627" s="11">
        <f t="shared" si="91"/>
        <v>0</v>
      </c>
    </row>
    <row r="628" spans="24:24" x14ac:dyDescent="0.15">
      <c r="X628" s="11">
        <f t="shared" si="91"/>
        <v>0</v>
      </c>
    </row>
    <row r="629" spans="24:24" x14ac:dyDescent="0.15">
      <c r="X629" s="11">
        <f t="shared" si="91"/>
        <v>0</v>
      </c>
    </row>
    <row r="630" spans="24:24" x14ac:dyDescent="0.15">
      <c r="X630" s="11">
        <f t="shared" si="91"/>
        <v>0</v>
      </c>
    </row>
    <row r="631" spans="24:24" x14ac:dyDescent="0.15">
      <c r="X631" s="11">
        <f t="shared" si="91"/>
        <v>0</v>
      </c>
    </row>
    <row r="632" spans="24:24" x14ac:dyDescent="0.15">
      <c r="X632" s="11">
        <f t="shared" si="91"/>
        <v>0</v>
      </c>
    </row>
    <row r="633" spans="24:24" x14ac:dyDescent="0.15">
      <c r="X633" s="11">
        <f t="shared" si="91"/>
        <v>0</v>
      </c>
    </row>
    <row r="634" spans="24:24" x14ac:dyDescent="0.15">
      <c r="X634" s="11">
        <f t="shared" si="91"/>
        <v>0</v>
      </c>
    </row>
    <row r="635" spans="24:24" x14ac:dyDescent="0.15">
      <c r="X635" s="11">
        <f t="shared" si="91"/>
        <v>0</v>
      </c>
    </row>
    <row r="636" spans="24:24" x14ac:dyDescent="0.15">
      <c r="X636" s="11">
        <f t="shared" si="91"/>
        <v>0</v>
      </c>
    </row>
    <row r="637" spans="24:24" x14ac:dyDescent="0.15">
      <c r="X637" s="11">
        <f t="shared" si="91"/>
        <v>0</v>
      </c>
    </row>
    <row r="638" spans="24:24" x14ac:dyDescent="0.15">
      <c r="X638" s="11">
        <f t="shared" si="91"/>
        <v>0</v>
      </c>
    </row>
    <row r="639" spans="24:24" x14ac:dyDescent="0.15">
      <c r="X639" s="11">
        <f t="shared" si="91"/>
        <v>0</v>
      </c>
    </row>
    <row r="640" spans="24:24" x14ac:dyDescent="0.15">
      <c r="X640" s="11">
        <f t="shared" si="91"/>
        <v>0</v>
      </c>
    </row>
    <row r="641" spans="24:24" x14ac:dyDescent="0.15">
      <c r="X641" s="11">
        <f t="shared" si="91"/>
        <v>0</v>
      </c>
    </row>
    <row r="642" spans="24:24" x14ac:dyDescent="0.15">
      <c r="X642" s="11">
        <f t="shared" si="91"/>
        <v>0</v>
      </c>
    </row>
    <row r="643" spans="24:24" x14ac:dyDescent="0.15">
      <c r="X643" s="11">
        <f t="shared" si="91"/>
        <v>0</v>
      </c>
    </row>
    <row r="644" spans="24:24" x14ac:dyDescent="0.15">
      <c r="X644" s="11">
        <f t="shared" si="91"/>
        <v>0</v>
      </c>
    </row>
    <row r="645" spans="24:24" x14ac:dyDescent="0.15">
      <c r="X645" s="11">
        <f t="shared" si="91"/>
        <v>0</v>
      </c>
    </row>
    <row r="646" spans="24:24" x14ac:dyDescent="0.15">
      <c r="X646" s="11">
        <f t="shared" si="91"/>
        <v>0</v>
      </c>
    </row>
    <row r="647" spans="24:24" x14ac:dyDescent="0.15">
      <c r="X647" s="11">
        <f t="shared" si="91"/>
        <v>0</v>
      </c>
    </row>
    <row r="648" spans="24:24" x14ac:dyDescent="0.15">
      <c r="X648" s="11">
        <f t="shared" si="91"/>
        <v>0</v>
      </c>
    </row>
    <row r="649" spans="24:24" x14ac:dyDescent="0.15">
      <c r="X649" s="11">
        <f t="shared" si="91"/>
        <v>0</v>
      </c>
    </row>
    <row r="650" spans="24:24" x14ac:dyDescent="0.15">
      <c r="X650" s="11">
        <f t="shared" si="91"/>
        <v>0</v>
      </c>
    </row>
    <row r="651" spans="24:24" x14ac:dyDescent="0.15">
      <c r="X651" s="11">
        <f t="shared" si="91"/>
        <v>0</v>
      </c>
    </row>
    <row r="652" spans="24:24" x14ac:dyDescent="0.15">
      <c r="X652" s="11">
        <f t="shared" si="91"/>
        <v>0</v>
      </c>
    </row>
    <row r="653" spans="24:24" x14ac:dyDescent="0.15">
      <c r="X653" s="11">
        <f t="shared" si="91"/>
        <v>0</v>
      </c>
    </row>
    <row r="654" spans="24:24" x14ac:dyDescent="0.15">
      <c r="X654" s="11">
        <f t="shared" si="91"/>
        <v>0</v>
      </c>
    </row>
    <row r="655" spans="24:24" x14ac:dyDescent="0.15">
      <c r="X655" s="11">
        <f t="shared" si="91"/>
        <v>0</v>
      </c>
    </row>
  </sheetData>
  <autoFilter ref="A5:Y655" xr:uid="{00000000-0009-0000-0000-000000000000}"/>
  <mergeCells count="4">
    <mergeCell ref="M4:N4"/>
    <mergeCell ref="O4:P4"/>
    <mergeCell ref="Q4:R4"/>
    <mergeCell ref="S4:T4"/>
  </mergeCells>
  <phoneticPr fontId="0" type="noConversion"/>
  <conditionalFormatting sqref="M6:T491 U7:W492 N492:P492 V493:V496 M493:U616 V498 U617:U634">
    <cfRule type="cellIs" dxfId="0" priority="1" stopIfTrue="1" operator="equal">
      <formula>0</formula>
    </cfRule>
  </conditionalFormatting>
  <pageMargins left="0.75" right="0.75" top="1" bottom="1" header="0.5" footer="0.5"/>
  <pageSetup paperSize="1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D23"/>
  <sheetViews>
    <sheetView workbookViewId="0">
      <selection activeCell="T43" sqref="T43"/>
    </sheetView>
  </sheetViews>
  <sheetFormatPr baseColWidth="10" defaultColWidth="8.83203125" defaultRowHeight="13" x14ac:dyDescent="0.15"/>
  <cols>
    <col min="1" max="1" width="18.83203125" bestFit="1" customWidth="1"/>
    <col min="2" max="2" width="10.6640625" bestFit="1" customWidth="1"/>
    <col min="3" max="3" width="9" customWidth="1"/>
    <col min="4" max="4" width="9.6640625" bestFit="1" customWidth="1"/>
    <col min="5" max="5" width="7.5" bestFit="1" customWidth="1"/>
    <col min="6" max="6" width="5.6640625" bestFit="1" customWidth="1"/>
    <col min="7" max="7" width="8.5" bestFit="1" customWidth="1"/>
    <col min="8" max="8" width="8.6640625" bestFit="1" customWidth="1"/>
    <col min="9" max="9" width="8.83203125" bestFit="1" customWidth="1"/>
    <col min="10" max="10" width="6.6640625" bestFit="1" customWidth="1"/>
    <col min="11" max="11" width="7.5" bestFit="1" customWidth="1"/>
    <col min="12" max="12" width="5.83203125" bestFit="1" customWidth="1"/>
    <col min="13" max="13" width="7.1640625" bestFit="1" customWidth="1"/>
    <col min="14" max="14" width="7.33203125" bestFit="1" customWidth="1"/>
    <col min="15" max="15" width="8.5" bestFit="1" customWidth="1"/>
    <col min="16" max="16" width="6.1640625" bestFit="1" customWidth="1"/>
    <col min="17" max="17" width="7.33203125" bestFit="1" customWidth="1"/>
    <col min="18" max="18" width="4.6640625" bestFit="1" customWidth="1"/>
    <col min="19" max="19" width="5.83203125" bestFit="1" customWidth="1"/>
    <col min="20" max="20" width="9.1640625" bestFit="1" customWidth="1"/>
    <col min="21" max="21" width="9.5" bestFit="1" customWidth="1"/>
    <col min="22" max="22" width="4.6640625" bestFit="1" customWidth="1"/>
    <col min="23" max="23" width="6.33203125" bestFit="1" customWidth="1"/>
    <col min="24" max="24" width="6.5" bestFit="1" customWidth="1"/>
    <col min="25" max="25" width="9.33203125" bestFit="1" customWidth="1"/>
    <col min="26" max="26" width="6.83203125" bestFit="1" customWidth="1"/>
    <col min="27" max="27" width="4.6640625" bestFit="1" customWidth="1"/>
    <col min="28" max="29" width="5" bestFit="1" customWidth="1"/>
    <col min="30" max="30" width="10.33203125" bestFit="1" customWidth="1"/>
  </cols>
  <sheetData>
    <row r="3" spans="1:30" x14ac:dyDescent="0.15">
      <c r="A3" s="35" t="s">
        <v>689</v>
      </c>
      <c r="B3" s="36"/>
      <c r="C3" s="36"/>
      <c r="D3" s="35" t="s">
        <v>415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7"/>
    </row>
    <row r="4" spans="1:30" x14ac:dyDescent="0.15">
      <c r="A4" s="35" t="s">
        <v>690</v>
      </c>
      <c r="B4" s="35" t="s">
        <v>681</v>
      </c>
      <c r="C4" s="35" t="s">
        <v>404</v>
      </c>
      <c r="D4" s="49" t="s">
        <v>191</v>
      </c>
      <c r="E4" s="50" t="s">
        <v>657</v>
      </c>
      <c r="F4" s="50" t="s">
        <v>83</v>
      </c>
      <c r="G4" s="50" t="s">
        <v>249</v>
      </c>
      <c r="H4" s="50" t="s">
        <v>41</v>
      </c>
      <c r="I4" s="50" t="s">
        <v>204</v>
      </c>
      <c r="J4" s="50" t="s">
        <v>133</v>
      </c>
      <c r="K4" s="50" t="s">
        <v>275</v>
      </c>
      <c r="L4" s="50" t="s">
        <v>577</v>
      </c>
      <c r="M4" s="50" t="s">
        <v>324</v>
      </c>
      <c r="N4" s="50" t="s">
        <v>196</v>
      </c>
      <c r="O4" s="50" t="s">
        <v>337</v>
      </c>
      <c r="P4" s="50" t="s">
        <v>199</v>
      </c>
      <c r="Q4" s="50" t="s">
        <v>326</v>
      </c>
      <c r="R4" s="50" t="s">
        <v>667</v>
      </c>
      <c r="S4" s="50" t="s">
        <v>652</v>
      </c>
      <c r="T4" s="50" t="s">
        <v>39</v>
      </c>
      <c r="U4" s="50" t="s">
        <v>343</v>
      </c>
      <c r="V4" s="39" t="s">
        <v>557</v>
      </c>
      <c r="W4" s="50" t="s">
        <v>183</v>
      </c>
      <c r="X4" s="50" t="s">
        <v>177</v>
      </c>
      <c r="Y4" s="39" t="s">
        <v>359</v>
      </c>
      <c r="Z4" s="50" t="s">
        <v>169</v>
      </c>
      <c r="AA4" s="39" t="s">
        <v>2698</v>
      </c>
      <c r="AB4" s="50" t="s">
        <v>870</v>
      </c>
      <c r="AC4" s="50" t="s">
        <v>354</v>
      </c>
      <c r="AD4" s="51" t="s">
        <v>688</v>
      </c>
    </row>
    <row r="5" spans="1:30" x14ac:dyDescent="0.15">
      <c r="A5" s="38" t="s">
        <v>408</v>
      </c>
      <c r="B5" s="38" t="s">
        <v>412</v>
      </c>
      <c r="C5" s="36"/>
      <c r="D5" s="40">
        <v>7.6145833333333313</v>
      </c>
      <c r="E5" s="41"/>
      <c r="F5" s="41">
        <v>0.57986111111111116</v>
      </c>
      <c r="G5" s="41">
        <v>0.81388888888888866</v>
      </c>
      <c r="H5" s="41">
        <v>5.4166666666666669E-2</v>
      </c>
      <c r="I5" s="41">
        <v>0.51388888888888884</v>
      </c>
      <c r="J5" s="41">
        <v>0.81250000000000011</v>
      </c>
      <c r="K5" s="41">
        <v>7.6388888888888895E-2</v>
      </c>
      <c r="L5" s="41"/>
      <c r="M5" s="41">
        <v>0.2048611111111111</v>
      </c>
      <c r="N5" s="41">
        <v>0.18472222222222223</v>
      </c>
      <c r="O5" s="41"/>
      <c r="P5" s="41">
        <v>0.1736111111111111</v>
      </c>
      <c r="Q5" s="41">
        <v>6.9444444444444434E-2</v>
      </c>
      <c r="R5" s="41"/>
      <c r="S5" s="41"/>
      <c r="T5" s="41"/>
      <c r="U5" s="41"/>
      <c r="V5" s="41">
        <v>9.375E-2</v>
      </c>
      <c r="W5" s="41">
        <v>9.0277777777777776E-2</v>
      </c>
      <c r="X5" s="41">
        <v>7.6388888888888895E-2</v>
      </c>
      <c r="Y5" s="41">
        <v>4.1666666666666664E-2</v>
      </c>
      <c r="Z5" s="41">
        <v>4.1666666666666664E-2</v>
      </c>
      <c r="AA5" s="41">
        <v>4.1666666666666664E-2</v>
      </c>
      <c r="AB5" s="41"/>
      <c r="AC5" s="41">
        <v>2.4305555555555556E-2</v>
      </c>
      <c r="AD5" s="42">
        <v>11.507638888888884</v>
      </c>
    </row>
    <row r="6" spans="1:30" x14ac:dyDescent="0.15">
      <c r="A6" s="43"/>
      <c r="B6" s="38" t="s">
        <v>491</v>
      </c>
      <c r="C6" s="36"/>
      <c r="D6" s="40">
        <v>1.7833333333333332</v>
      </c>
      <c r="E6" s="41"/>
      <c r="F6" s="41"/>
      <c r="G6" s="41"/>
      <c r="H6" s="41"/>
      <c r="I6" s="41">
        <v>0.28819444444444448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2">
        <v>2.0715277777777779</v>
      </c>
    </row>
    <row r="7" spans="1:30" x14ac:dyDescent="0.15">
      <c r="A7" s="43"/>
      <c r="B7" s="38" t="s">
        <v>97</v>
      </c>
      <c r="C7" s="36"/>
      <c r="D7" s="40">
        <v>0.34097222222222223</v>
      </c>
      <c r="E7" s="41"/>
      <c r="F7" s="41"/>
      <c r="G7" s="41"/>
      <c r="H7" s="41">
        <v>1.0298611111111109</v>
      </c>
      <c r="I7" s="41">
        <v>4.5138888888888888E-2</v>
      </c>
      <c r="J7" s="41">
        <v>4.1666666666666664E-2</v>
      </c>
      <c r="K7" s="41"/>
      <c r="L7" s="41"/>
      <c r="M7" s="41"/>
      <c r="N7" s="41"/>
      <c r="O7" s="41"/>
      <c r="P7" s="41"/>
      <c r="Q7" s="41"/>
      <c r="R7" s="41"/>
      <c r="S7" s="41"/>
      <c r="T7" s="41">
        <v>0.10069444444444445</v>
      </c>
      <c r="U7" s="41"/>
      <c r="V7" s="41"/>
      <c r="W7" s="41"/>
      <c r="X7" s="41"/>
      <c r="Y7" s="41"/>
      <c r="Z7" s="41"/>
      <c r="AA7" s="41"/>
      <c r="AB7" s="41"/>
      <c r="AC7" s="41"/>
      <c r="AD7" s="42">
        <v>1.5583333333333331</v>
      </c>
    </row>
    <row r="8" spans="1:30" x14ac:dyDescent="0.15">
      <c r="A8" s="43"/>
      <c r="B8" s="38" t="s">
        <v>108</v>
      </c>
      <c r="C8" s="36"/>
      <c r="D8" s="40">
        <v>1.0527777777777778</v>
      </c>
      <c r="E8" s="41"/>
      <c r="F8" s="41"/>
      <c r="G8" s="41"/>
      <c r="H8" s="41"/>
      <c r="I8" s="41">
        <v>3.8194444444444441E-2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2">
        <v>1.0909722222222222</v>
      </c>
    </row>
    <row r="9" spans="1:30" x14ac:dyDescent="0.15">
      <c r="A9" s="43"/>
      <c r="B9" s="38" t="s">
        <v>517</v>
      </c>
      <c r="C9" s="36"/>
      <c r="D9" s="40">
        <v>0.14861111111111114</v>
      </c>
      <c r="E9" s="41">
        <v>0.40486111111111112</v>
      </c>
      <c r="F9" s="41"/>
      <c r="G9" s="41"/>
      <c r="H9" s="41"/>
      <c r="I9" s="41"/>
      <c r="J9" s="41"/>
      <c r="K9" s="41"/>
      <c r="L9" s="41"/>
      <c r="M9" s="41">
        <v>8.0555555555555561E-2</v>
      </c>
      <c r="N9" s="41"/>
      <c r="O9" s="41">
        <v>9.0277777777777776E-2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2">
        <v>0.72430555555555565</v>
      </c>
    </row>
    <row r="10" spans="1:30" x14ac:dyDescent="0.15">
      <c r="A10" s="43"/>
      <c r="B10" s="38" t="s">
        <v>541</v>
      </c>
      <c r="C10" s="36"/>
      <c r="D10" s="40">
        <v>7.6388888888888895E-2</v>
      </c>
      <c r="E10" s="41"/>
      <c r="F10" s="41">
        <v>0.47569444444444442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2">
        <v>0.55208333333333326</v>
      </c>
    </row>
    <row r="11" spans="1:30" x14ac:dyDescent="0.15">
      <c r="A11" s="43"/>
      <c r="B11" s="38" t="s">
        <v>379</v>
      </c>
      <c r="C11" s="36"/>
      <c r="D11" s="40">
        <v>0.45972222222222214</v>
      </c>
      <c r="E11" s="41"/>
      <c r="F11" s="41"/>
      <c r="G11" s="41"/>
      <c r="H11" s="41"/>
      <c r="I11" s="41">
        <v>5.9027777777777776E-2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2">
        <v>0.51874999999999993</v>
      </c>
    </row>
    <row r="12" spans="1:30" x14ac:dyDescent="0.15">
      <c r="A12" s="43"/>
      <c r="B12" s="38" t="s">
        <v>407</v>
      </c>
      <c r="C12" s="36"/>
      <c r="D12" s="40"/>
      <c r="E12" s="41"/>
      <c r="F12" s="41"/>
      <c r="G12" s="41">
        <v>0.31944444444444448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2">
        <v>0.31944444444444448</v>
      </c>
    </row>
    <row r="13" spans="1:30" x14ac:dyDescent="0.15">
      <c r="A13" s="43"/>
      <c r="B13" s="38" t="s">
        <v>424</v>
      </c>
      <c r="C13" s="36"/>
      <c r="D13" s="40"/>
      <c r="E13" s="41"/>
      <c r="F13" s="41">
        <v>0.125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2">
        <v>0.125</v>
      </c>
    </row>
    <row r="14" spans="1:30" x14ac:dyDescent="0.15">
      <c r="A14" s="43"/>
      <c r="B14" s="38" t="s">
        <v>242</v>
      </c>
      <c r="C14" s="36"/>
      <c r="D14" s="40">
        <v>7.4305555555555555E-2</v>
      </c>
      <c r="E14" s="41"/>
      <c r="F14" s="41"/>
      <c r="G14" s="41"/>
      <c r="H14" s="41"/>
      <c r="I14" s="41">
        <v>4.5138888888888888E-2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2">
        <v>0.11944444444444444</v>
      </c>
    </row>
    <row r="15" spans="1:30" x14ac:dyDescent="0.15">
      <c r="A15" s="43"/>
      <c r="B15" s="38" t="s">
        <v>869</v>
      </c>
      <c r="C15" s="36"/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>
        <v>3.8194444444444441E-2</v>
      </c>
      <c r="AC15" s="41"/>
      <c r="AD15" s="42">
        <v>3.8194444444444441E-2</v>
      </c>
    </row>
    <row r="16" spans="1:30" x14ac:dyDescent="0.15">
      <c r="A16" s="43"/>
      <c r="B16" s="38" t="s">
        <v>287</v>
      </c>
      <c r="C16" s="36"/>
      <c r="D16" s="40"/>
      <c r="E16" s="41"/>
      <c r="F16" s="41">
        <v>3.4722222222222224E-2</v>
      </c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2">
        <v>3.4722222222222224E-2</v>
      </c>
    </row>
    <row r="17" spans="1:30" x14ac:dyDescent="0.15">
      <c r="A17" s="43"/>
      <c r="B17" s="38" t="s">
        <v>507</v>
      </c>
      <c r="C17" s="36"/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>
        <v>2.7777777777777776E-2</v>
      </c>
      <c r="U17" s="41"/>
      <c r="V17" s="41"/>
      <c r="W17" s="41"/>
      <c r="X17" s="41"/>
      <c r="Y17" s="41"/>
      <c r="Z17" s="41"/>
      <c r="AA17" s="41"/>
      <c r="AB17" s="41"/>
      <c r="AC17" s="41"/>
      <c r="AD17" s="42">
        <v>2.7777777777777776E-2</v>
      </c>
    </row>
    <row r="18" spans="1:30" x14ac:dyDescent="0.15">
      <c r="A18" s="38" t="s">
        <v>691</v>
      </c>
      <c r="B18" s="36"/>
      <c r="C18" s="36"/>
      <c r="D18" s="40">
        <v>11.550694444444442</v>
      </c>
      <c r="E18" s="41">
        <v>0.40486111111111112</v>
      </c>
      <c r="F18" s="41">
        <v>1.2152777777777777</v>
      </c>
      <c r="G18" s="41">
        <v>1.1333333333333331</v>
      </c>
      <c r="H18" s="41">
        <v>1.0840277777777776</v>
      </c>
      <c r="I18" s="41">
        <v>0.98958333333333337</v>
      </c>
      <c r="J18" s="41">
        <v>0.85416666666666674</v>
      </c>
      <c r="K18" s="41">
        <v>7.6388888888888895E-2</v>
      </c>
      <c r="L18" s="41"/>
      <c r="M18" s="41">
        <v>0.28541666666666665</v>
      </c>
      <c r="N18" s="41">
        <v>0.18472222222222223</v>
      </c>
      <c r="O18" s="41">
        <v>9.0277777777777776E-2</v>
      </c>
      <c r="P18" s="41">
        <v>0.1736111111111111</v>
      </c>
      <c r="Q18" s="41">
        <v>6.9444444444444434E-2</v>
      </c>
      <c r="R18" s="41"/>
      <c r="S18" s="41"/>
      <c r="T18" s="41">
        <v>0.12847222222222221</v>
      </c>
      <c r="U18" s="41"/>
      <c r="V18" s="41">
        <v>9.375E-2</v>
      </c>
      <c r="W18" s="41">
        <v>9.0277777777777776E-2</v>
      </c>
      <c r="X18" s="41">
        <v>7.6388888888888895E-2</v>
      </c>
      <c r="Y18" s="41">
        <v>4.1666666666666664E-2</v>
      </c>
      <c r="Z18" s="41">
        <v>4.1666666666666664E-2</v>
      </c>
      <c r="AA18" s="41">
        <v>4.1666666666666664E-2</v>
      </c>
      <c r="AB18" s="41">
        <v>3.8194444444444441E-2</v>
      </c>
      <c r="AC18" s="41">
        <v>2.4305555555555556E-2</v>
      </c>
      <c r="AD18" s="42">
        <v>18.688194444444441</v>
      </c>
    </row>
    <row r="19" spans="1:30" x14ac:dyDescent="0.15">
      <c r="A19" s="38" t="s">
        <v>274</v>
      </c>
      <c r="B19" s="38" t="s">
        <v>273</v>
      </c>
      <c r="C19" s="36"/>
      <c r="D19" s="40">
        <v>2.8083333333333331</v>
      </c>
      <c r="E19" s="41">
        <v>1.4861111111111107</v>
      </c>
      <c r="F19" s="41"/>
      <c r="G19" s="41"/>
      <c r="H19" s="41"/>
      <c r="I19" s="41"/>
      <c r="J19" s="41"/>
      <c r="K19" s="41">
        <v>0.36458333333333337</v>
      </c>
      <c r="L19" s="41">
        <v>0.40902777777777777</v>
      </c>
      <c r="M19" s="41"/>
      <c r="N19" s="41"/>
      <c r="O19" s="41">
        <v>9.375E-2</v>
      </c>
      <c r="P19" s="41"/>
      <c r="Q19" s="41">
        <v>9.0277777777777776E-2</v>
      </c>
      <c r="R19" s="41">
        <v>0.1423611111111111</v>
      </c>
      <c r="S19" s="41"/>
      <c r="T19" s="41"/>
      <c r="U19" s="41">
        <v>0.10486111111111111</v>
      </c>
      <c r="V19" s="41"/>
      <c r="W19" s="41"/>
      <c r="X19" s="41"/>
      <c r="Y19" s="41"/>
      <c r="Z19" s="41"/>
      <c r="AA19" s="41"/>
      <c r="AB19" s="41"/>
      <c r="AC19" s="41"/>
      <c r="AD19" s="42">
        <v>5.499305555555555</v>
      </c>
    </row>
    <row r="20" spans="1:30" x14ac:dyDescent="0.15">
      <c r="A20" s="43"/>
      <c r="B20" s="38" t="s">
        <v>848</v>
      </c>
      <c r="C20" s="36"/>
      <c r="D20" s="40">
        <v>1.0465277777777777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>
        <v>0.1388888888888889</v>
      </c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2">
        <v>1.1854166666666666</v>
      </c>
    </row>
    <row r="21" spans="1:30" x14ac:dyDescent="0.15">
      <c r="A21" s="43"/>
      <c r="B21" s="38" t="s">
        <v>348</v>
      </c>
      <c r="C21" s="36"/>
      <c r="D21" s="40">
        <v>1.1520833333333333</v>
      </c>
      <c r="E21" s="41"/>
      <c r="F21" s="41">
        <v>2.4305555555555556E-2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2">
        <v>1.1763888888888889</v>
      </c>
    </row>
    <row r="22" spans="1:30" x14ac:dyDescent="0.15">
      <c r="A22" s="38" t="s">
        <v>692</v>
      </c>
      <c r="B22" s="36"/>
      <c r="C22" s="36"/>
      <c r="D22" s="40">
        <v>5.0069444444444446</v>
      </c>
      <c r="E22" s="41">
        <v>1.4861111111111107</v>
      </c>
      <c r="F22" s="41">
        <v>2.4305555555555556E-2</v>
      </c>
      <c r="G22" s="41"/>
      <c r="H22" s="41"/>
      <c r="I22" s="41"/>
      <c r="J22" s="41"/>
      <c r="K22" s="41">
        <v>0.36458333333333337</v>
      </c>
      <c r="L22" s="41">
        <v>0.40902777777777777</v>
      </c>
      <c r="M22" s="41"/>
      <c r="N22" s="41"/>
      <c r="O22" s="41">
        <v>9.375E-2</v>
      </c>
      <c r="P22" s="41"/>
      <c r="Q22" s="41">
        <v>9.0277777777777776E-2</v>
      </c>
      <c r="R22" s="41">
        <v>0.1423611111111111</v>
      </c>
      <c r="S22" s="41">
        <v>0.1388888888888889</v>
      </c>
      <c r="T22" s="41"/>
      <c r="U22" s="41">
        <v>0.10486111111111111</v>
      </c>
      <c r="V22" s="41"/>
      <c r="W22" s="41"/>
      <c r="X22" s="41"/>
      <c r="Y22" s="41"/>
      <c r="Z22" s="41"/>
      <c r="AA22" s="41"/>
      <c r="AB22" s="41"/>
      <c r="AC22" s="41"/>
      <c r="AD22" s="42">
        <v>7.8611111111111107</v>
      </c>
    </row>
    <row r="23" spans="1:30" x14ac:dyDescent="0.15">
      <c r="A23" s="44" t="s">
        <v>688</v>
      </c>
      <c r="B23" s="45"/>
      <c r="C23" s="45"/>
      <c r="D23" s="46">
        <v>16.557638888888885</v>
      </c>
      <c r="E23" s="47">
        <v>1.8909722222222218</v>
      </c>
      <c r="F23" s="47">
        <v>1.2395833333333333</v>
      </c>
      <c r="G23" s="47">
        <v>1.1333333333333331</v>
      </c>
      <c r="H23" s="47">
        <v>1.0840277777777776</v>
      </c>
      <c r="I23" s="47">
        <v>0.98958333333333337</v>
      </c>
      <c r="J23" s="47">
        <v>0.85416666666666674</v>
      </c>
      <c r="K23" s="47">
        <v>0.44097222222222227</v>
      </c>
      <c r="L23" s="47">
        <v>0.40902777777777777</v>
      </c>
      <c r="M23" s="47">
        <v>0.28541666666666665</v>
      </c>
      <c r="N23" s="47">
        <v>0.18472222222222223</v>
      </c>
      <c r="O23" s="47">
        <v>0.18402777777777779</v>
      </c>
      <c r="P23" s="47">
        <v>0.1736111111111111</v>
      </c>
      <c r="Q23" s="47">
        <v>0.15972222222222221</v>
      </c>
      <c r="R23" s="47">
        <v>0.1423611111111111</v>
      </c>
      <c r="S23" s="47">
        <v>0.1388888888888889</v>
      </c>
      <c r="T23" s="47">
        <v>0.12847222222222221</v>
      </c>
      <c r="U23" s="47">
        <v>0.10486111111111111</v>
      </c>
      <c r="V23" s="47">
        <v>9.375E-2</v>
      </c>
      <c r="W23" s="47">
        <v>9.0277777777777776E-2</v>
      </c>
      <c r="X23" s="47">
        <v>7.6388888888888895E-2</v>
      </c>
      <c r="Y23" s="47">
        <v>4.1666666666666664E-2</v>
      </c>
      <c r="Z23" s="47">
        <v>4.1666666666666664E-2</v>
      </c>
      <c r="AA23" s="47">
        <v>4.1666666666666664E-2</v>
      </c>
      <c r="AB23" s="47">
        <v>3.8194444444444441E-2</v>
      </c>
      <c r="AC23" s="47">
        <v>2.4305555555555556E-2</v>
      </c>
      <c r="AD23" s="48">
        <v>26.549305555555552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53"/>
  <sheetViews>
    <sheetView workbookViewId="0">
      <selection activeCell="G35" sqref="G35"/>
    </sheetView>
  </sheetViews>
  <sheetFormatPr baseColWidth="10" defaultColWidth="8.83203125" defaultRowHeight="13" x14ac:dyDescent="0.15"/>
  <cols>
    <col min="1" max="1" width="18.83203125" bestFit="1" customWidth="1"/>
    <col min="2" max="2" width="10.6640625" bestFit="1" customWidth="1"/>
    <col min="3" max="3" width="10.33203125" bestFit="1" customWidth="1"/>
    <col min="4" max="4" width="6.6640625" bestFit="1" customWidth="1"/>
    <col min="5" max="5" width="7.5" bestFit="1" customWidth="1"/>
    <col min="6" max="6" width="10.6640625" bestFit="1" customWidth="1"/>
    <col min="7" max="7" width="6.5" bestFit="1" customWidth="1"/>
    <col min="8" max="8" width="9.5" bestFit="1" customWidth="1"/>
    <col min="9" max="9" width="6.6640625" bestFit="1" customWidth="1"/>
    <col min="10" max="10" width="8.33203125" bestFit="1" customWidth="1"/>
    <col min="11" max="11" width="6.6640625" bestFit="1" customWidth="1"/>
    <col min="12" max="12" width="10.33203125" bestFit="1" customWidth="1"/>
    <col min="13" max="13" width="5.83203125" bestFit="1" customWidth="1"/>
    <col min="14" max="14" width="6.5" bestFit="1" customWidth="1"/>
    <col min="15" max="15" width="6.33203125" bestFit="1" customWidth="1"/>
    <col min="16" max="16" width="8.5" bestFit="1" customWidth="1"/>
    <col min="17" max="17" width="5.83203125" bestFit="1" customWidth="1"/>
    <col min="18" max="18" width="6.6640625" bestFit="1" customWidth="1"/>
    <col min="19" max="19" width="7.1640625" bestFit="1" customWidth="1"/>
    <col min="20" max="20" width="11.1640625" bestFit="1" customWidth="1"/>
    <col min="21" max="21" width="10.83203125" customWidth="1"/>
    <col min="22" max="22" width="7.5" bestFit="1" customWidth="1"/>
    <col min="23" max="23" width="7.83203125" bestFit="1" customWidth="1"/>
    <col min="24" max="24" width="11.33203125" bestFit="1" customWidth="1"/>
    <col min="25" max="25" width="8.6640625" bestFit="1" customWidth="1"/>
    <col min="26" max="27" width="6.33203125" bestFit="1" customWidth="1"/>
    <col min="28" max="28" width="12.33203125" bestFit="1" customWidth="1"/>
  </cols>
  <sheetData>
    <row r="3" spans="1:19" x14ac:dyDescent="0.15">
      <c r="A3" s="35" t="s">
        <v>368</v>
      </c>
      <c r="B3" s="36"/>
      <c r="C3" s="35" t="s">
        <v>681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</row>
    <row r="4" spans="1:19" x14ac:dyDescent="0.15">
      <c r="A4" s="35" t="s">
        <v>690</v>
      </c>
      <c r="B4" s="35" t="s">
        <v>404</v>
      </c>
      <c r="C4" s="38" t="s">
        <v>412</v>
      </c>
      <c r="D4" s="39" t="s">
        <v>273</v>
      </c>
      <c r="E4" s="39" t="s">
        <v>97</v>
      </c>
      <c r="F4" s="39" t="s">
        <v>491</v>
      </c>
      <c r="G4" s="39" t="s">
        <v>848</v>
      </c>
      <c r="H4" s="39" t="s">
        <v>108</v>
      </c>
      <c r="I4" s="39" t="s">
        <v>348</v>
      </c>
      <c r="J4" s="39" t="s">
        <v>517</v>
      </c>
      <c r="K4" s="39" t="s">
        <v>541</v>
      </c>
      <c r="L4" s="39" t="s">
        <v>379</v>
      </c>
      <c r="M4" s="39" t="s">
        <v>407</v>
      </c>
      <c r="N4" s="39" t="s">
        <v>424</v>
      </c>
      <c r="O4" s="39" t="s">
        <v>242</v>
      </c>
      <c r="P4" s="39" t="s">
        <v>507</v>
      </c>
      <c r="Q4" s="39" t="s">
        <v>287</v>
      </c>
      <c r="R4" s="39" t="s">
        <v>869</v>
      </c>
      <c r="S4" s="51" t="s">
        <v>688</v>
      </c>
    </row>
    <row r="5" spans="1:19" x14ac:dyDescent="0.15">
      <c r="A5" s="38" t="s">
        <v>408</v>
      </c>
      <c r="B5" s="38" t="s">
        <v>132</v>
      </c>
      <c r="C5" s="38">
        <v>72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52">
        <v>72</v>
      </c>
    </row>
    <row r="6" spans="1:19" x14ac:dyDescent="0.15">
      <c r="A6" s="43"/>
      <c r="B6" s="53" t="s">
        <v>38</v>
      </c>
      <c r="C6" s="53"/>
      <c r="E6">
        <v>47</v>
      </c>
      <c r="S6" s="54">
        <v>47</v>
      </c>
    </row>
    <row r="7" spans="1:19" x14ac:dyDescent="0.15">
      <c r="A7" s="43"/>
      <c r="B7" s="53" t="s">
        <v>490</v>
      </c>
      <c r="C7" s="53"/>
      <c r="F7">
        <v>36</v>
      </c>
      <c r="S7" s="54">
        <v>36</v>
      </c>
    </row>
    <row r="8" spans="1:19" x14ac:dyDescent="0.15">
      <c r="A8" s="43"/>
      <c r="B8" s="53" t="s">
        <v>266</v>
      </c>
      <c r="C8" s="53">
        <v>32</v>
      </c>
      <c r="S8" s="54">
        <v>32</v>
      </c>
    </row>
    <row r="9" spans="1:19" x14ac:dyDescent="0.15">
      <c r="A9" s="43"/>
      <c r="B9" s="53" t="s">
        <v>267</v>
      </c>
      <c r="C9" s="53">
        <v>30</v>
      </c>
      <c r="S9" s="54">
        <v>30</v>
      </c>
    </row>
    <row r="10" spans="1:19" x14ac:dyDescent="0.15">
      <c r="A10" s="43"/>
      <c r="B10" s="53" t="s">
        <v>187</v>
      </c>
      <c r="C10" s="53">
        <v>30</v>
      </c>
      <c r="S10" s="54">
        <v>30</v>
      </c>
    </row>
    <row r="11" spans="1:19" x14ac:dyDescent="0.15">
      <c r="A11" s="43"/>
      <c r="B11" s="53" t="s">
        <v>228</v>
      </c>
      <c r="C11" s="53">
        <v>20</v>
      </c>
      <c r="S11" s="54">
        <v>20</v>
      </c>
    </row>
    <row r="12" spans="1:19" x14ac:dyDescent="0.15">
      <c r="A12" s="43"/>
      <c r="B12" s="53" t="s">
        <v>54</v>
      </c>
      <c r="C12" s="53"/>
      <c r="H12">
        <v>16</v>
      </c>
      <c r="S12" s="54">
        <v>16</v>
      </c>
    </row>
    <row r="13" spans="1:19" x14ac:dyDescent="0.15">
      <c r="A13" s="43"/>
      <c r="B13" s="53" t="s">
        <v>319</v>
      </c>
      <c r="C13" s="53">
        <v>15</v>
      </c>
      <c r="S13" s="54">
        <v>15</v>
      </c>
    </row>
    <row r="14" spans="1:19" x14ac:dyDescent="0.15">
      <c r="A14" s="43"/>
      <c r="B14" s="53" t="s">
        <v>516</v>
      </c>
      <c r="C14" s="53"/>
      <c r="J14">
        <v>13</v>
      </c>
      <c r="S14" s="54">
        <v>13</v>
      </c>
    </row>
    <row r="15" spans="1:19" x14ac:dyDescent="0.15">
      <c r="A15" s="43"/>
      <c r="B15" s="53" t="s">
        <v>540</v>
      </c>
      <c r="C15" s="53"/>
      <c r="K15">
        <v>11</v>
      </c>
      <c r="S15" s="54">
        <v>11</v>
      </c>
    </row>
    <row r="16" spans="1:19" x14ac:dyDescent="0.15">
      <c r="A16" s="43"/>
      <c r="B16" s="53" t="s">
        <v>552</v>
      </c>
      <c r="C16" s="53">
        <v>11</v>
      </c>
      <c r="S16" s="54">
        <v>11</v>
      </c>
    </row>
    <row r="17" spans="1:19" x14ac:dyDescent="0.15">
      <c r="A17" s="43"/>
      <c r="B17" s="53" t="s">
        <v>378</v>
      </c>
      <c r="C17" s="53"/>
      <c r="L17">
        <v>10</v>
      </c>
      <c r="S17" s="54">
        <v>10</v>
      </c>
    </row>
    <row r="18" spans="1:19" x14ac:dyDescent="0.15">
      <c r="A18" s="43"/>
      <c r="B18" s="53" t="s">
        <v>560</v>
      </c>
      <c r="C18" s="53">
        <v>10</v>
      </c>
      <c r="S18" s="54">
        <v>10</v>
      </c>
    </row>
    <row r="19" spans="1:19" x14ac:dyDescent="0.15">
      <c r="A19" s="43"/>
      <c r="B19" s="53" t="s">
        <v>493</v>
      </c>
      <c r="C19" s="53">
        <v>8</v>
      </c>
      <c r="S19" s="54">
        <v>8</v>
      </c>
    </row>
    <row r="20" spans="1:19" x14ac:dyDescent="0.15">
      <c r="A20" s="43"/>
      <c r="B20" s="53" t="s">
        <v>264</v>
      </c>
      <c r="C20" s="53">
        <v>7</v>
      </c>
      <c r="S20" s="54">
        <v>7</v>
      </c>
    </row>
    <row r="21" spans="1:19" x14ac:dyDescent="0.15">
      <c r="A21" s="43"/>
      <c r="B21" s="53" t="s">
        <v>673</v>
      </c>
      <c r="C21" s="53">
        <v>7</v>
      </c>
      <c r="S21" s="54">
        <v>7</v>
      </c>
    </row>
    <row r="22" spans="1:19" x14ac:dyDescent="0.15">
      <c r="A22" s="43"/>
      <c r="B22" s="53" t="s">
        <v>206</v>
      </c>
      <c r="C22" s="53"/>
      <c r="H22">
        <v>6</v>
      </c>
      <c r="S22" s="54">
        <v>6</v>
      </c>
    </row>
    <row r="23" spans="1:19" x14ac:dyDescent="0.15">
      <c r="A23" s="43"/>
      <c r="B23" s="53" t="s">
        <v>265</v>
      </c>
      <c r="C23" s="53">
        <v>5</v>
      </c>
      <c r="S23" s="54">
        <v>5</v>
      </c>
    </row>
    <row r="24" spans="1:19" x14ac:dyDescent="0.15">
      <c r="A24" s="43"/>
      <c r="B24" s="53" t="s">
        <v>322</v>
      </c>
      <c r="C24" s="53">
        <v>5</v>
      </c>
      <c r="S24" s="54">
        <v>5</v>
      </c>
    </row>
    <row r="25" spans="1:19" x14ac:dyDescent="0.15">
      <c r="A25" s="43"/>
      <c r="B25" s="53" t="s">
        <v>411</v>
      </c>
      <c r="C25" s="53">
        <v>5</v>
      </c>
      <c r="S25" s="54">
        <v>5</v>
      </c>
    </row>
    <row r="26" spans="1:19" x14ac:dyDescent="0.15">
      <c r="A26" s="43"/>
      <c r="B26" s="53" t="s">
        <v>413</v>
      </c>
      <c r="C26" s="53">
        <v>4</v>
      </c>
      <c r="S26" s="54">
        <v>4</v>
      </c>
    </row>
    <row r="27" spans="1:19" x14ac:dyDescent="0.15">
      <c r="A27" s="43"/>
      <c r="B27" s="53" t="s">
        <v>323</v>
      </c>
      <c r="C27" s="53">
        <v>4</v>
      </c>
      <c r="S27" s="54">
        <v>4</v>
      </c>
    </row>
    <row r="28" spans="1:19" x14ac:dyDescent="0.15">
      <c r="A28" s="43"/>
      <c r="B28" s="53" t="s">
        <v>410</v>
      </c>
      <c r="C28" s="53"/>
      <c r="M28">
        <v>3</v>
      </c>
      <c r="S28" s="54">
        <v>3</v>
      </c>
    </row>
    <row r="29" spans="1:19" x14ac:dyDescent="0.15">
      <c r="A29" s="43"/>
      <c r="B29" s="53" t="s">
        <v>423</v>
      </c>
      <c r="C29" s="53"/>
      <c r="N29">
        <v>3</v>
      </c>
      <c r="S29" s="54">
        <v>3</v>
      </c>
    </row>
    <row r="30" spans="1:19" x14ac:dyDescent="0.15">
      <c r="A30" s="43"/>
      <c r="B30" s="53" t="s">
        <v>95</v>
      </c>
      <c r="C30" s="53"/>
      <c r="O30">
        <v>3</v>
      </c>
      <c r="S30" s="54">
        <v>3</v>
      </c>
    </row>
    <row r="31" spans="1:19" x14ac:dyDescent="0.15">
      <c r="A31" s="43"/>
      <c r="B31" s="53" t="s">
        <v>406</v>
      </c>
      <c r="C31" s="53"/>
      <c r="M31">
        <v>3</v>
      </c>
      <c r="S31" s="54">
        <v>3</v>
      </c>
    </row>
    <row r="32" spans="1:19" x14ac:dyDescent="0.15">
      <c r="A32" s="43"/>
      <c r="B32" s="53" t="s">
        <v>369</v>
      </c>
      <c r="C32" s="53">
        <v>2</v>
      </c>
      <c r="S32" s="54">
        <v>2</v>
      </c>
    </row>
    <row r="33" spans="1:19" x14ac:dyDescent="0.15">
      <c r="A33" s="43"/>
      <c r="B33" s="53" t="s">
        <v>381</v>
      </c>
      <c r="C33" s="53">
        <v>2</v>
      </c>
      <c r="S33" s="54">
        <v>2</v>
      </c>
    </row>
    <row r="34" spans="1:19" x14ac:dyDescent="0.15">
      <c r="A34" s="43"/>
      <c r="B34" s="53" t="s">
        <v>128</v>
      </c>
      <c r="C34" s="53">
        <v>2</v>
      </c>
      <c r="S34" s="54">
        <v>2</v>
      </c>
    </row>
    <row r="35" spans="1:19" x14ac:dyDescent="0.15">
      <c r="A35" s="43"/>
      <c r="B35" s="53" t="s">
        <v>36</v>
      </c>
      <c r="C35" s="53">
        <v>1</v>
      </c>
      <c r="S35" s="54">
        <v>1</v>
      </c>
    </row>
    <row r="36" spans="1:19" x14ac:dyDescent="0.15">
      <c r="A36" s="43"/>
      <c r="B36" s="53" t="s">
        <v>55</v>
      </c>
      <c r="C36" s="53">
        <v>1</v>
      </c>
      <c r="S36" s="54">
        <v>1</v>
      </c>
    </row>
    <row r="37" spans="1:19" x14ac:dyDescent="0.15">
      <c r="A37" s="43"/>
      <c r="B37" s="53" t="s">
        <v>409</v>
      </c>
      <c r="C37" s="53"/>
      <c r="M37">
        <v>1</v>
      </c>
      <c r="S37" s="54">
        <v>1</v>
      </c>
    </row>
    <row r="38" spans="1:19" x14ac:dyDescent="0.15">
      <c r="A38" s="43"/>
      <c r="B38" s="53" t="s">
        <v>179</v>
      </c>
      <c r="C38" s="53">
        <v>1</v>
      </c>
      <c r="S38" s="54">
        <v>1</v>
      </c>
    </row>
    <row r="39" spans="1:19" x14ac:dyDescent="0.15">
      <c r="A39" s="43"/>
      <c r="B39" s="53" t="s">
        <v>508</v>
      </c>
      <c r="C39" s="53"/>
      <c r="P39">
        <v>1</v>
      </c>
      <c r="S39" s="54">
        <v>1</v>
      </c>
    </row>
    <row r="40" spans="1:19" x14ac:dyDescent="0.15">
      <c r="A40" s="43"/>
      <c r="B40" s="53" t="s">
        <v>96</v>
      </c>
      <c r="C40" s="53"/>
      <c r="E40">
        <v>1</v>
      </c>
      <c r="S40" s="54">
        <v>1</v>
      </c>
    </row>
    <row r="41" spans="1:19" x14ac:dyDescent="0.15">
      <c r="A41" s="43"/>
      <c r="B41" s="53" t="s">
        <v>286</v>
      </c>
      <c r="C41" s="53"/>
      <c r="Q41">
        <v>1</v>
      </c>
      <c r="S41" s="54">
        <v>1</v>
      </c>
    </row>
    <row r="42" spans="1:19" x14ac:dyDescent="0.15">
      <c r="A42" s="43"/>
      <c r="B42" s="53" t="s">
        <v>2696</v>
      </c>
      <c r="C42" s="53">
        <v>1</v>
      </c>
      <c r="S42" s="54">
        <v>1</v>
      </c>
    </row>
    <row r="43" spans="1:19" x14ac:dyDescent="0.15">
      <c r="A43" s="43"/>
      <c r="B43" s="53" t="s">
        <v>295</v>
      </c>
      <c r="C43" s="53">
        <v>1</v>
      </c>
      <c r="S43" s="54">
        <v>1</v>
      </c>
    </row>
    <row r="44" spans="1:19" x14ac:dyDescent="0.15">
      <c r="A44" s="43"/>
      <c r="B44" s="53" t="s">
        <v>868</v>
      </c>
      <c r="C44" s="53"/>
      <c r="R44">
        <v>1</v>
      </c>
      <c r="S44" s="54">
        <v>1</v>
      </c>
    </row>
    <row r="45" spans="1:19" x14ac:dyDescent="0.15">
      <c r="A45" s="38" t="s">
        <v>691</v>
      </c>
      <c r="B45" s="36"/>
      <c r="C45" s="38">
        <v>276</v>
      </c>
      <c r="D45" s="39"/>
      <c r="E45" s="39">
        <v>48</v>
      </c>
      <c r="F45" s="39">
        <v>36</v>
      </c>
      <c r="G45" s="39"/>
      <c r="H45" s="39">
        <v>22</v>
      </c>
      <c r="I45" s="39"/>
      <c r="J45" s="39">
        <v>13</v>
      </c>
      <c r="K45" s="39">
        <v>11</v>
      </c>
      <c r="L45" s="39">
        <v>10</v>
      </c>
      <c r="M45" s="39">
        <v>7</v>
      </c>
      <c r="N45" s="39">
        <v>3</v>
      </c>
      <c r="O45" s="39">
        <v>3</v>
      </c>
      <c r="P45" s="39">
        <v>1</v>
      </c>
      <c r="Q45" s="39">
        <v>1</v>
      </c>
      <c r="R45" s="39">
        <v>1</v>
      </c>
      <c r="S45" s="52">
        <v>432</v>
      </c>
    </row>
    <row r="46" spans="1:19" x14ac:dyDescent="0.15">
      <c r="A46" s="38" t="s">
        <v>274</v>
      </c>
      <c r="B46" s="38" t="s">
        <v>572</v>
      </c>
      <c r="C46" s="38"/>
      <c r="D46" s="39">
        <v>51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52">
        <v>51</v>
      </c>
    </row>
    <row r="47" spans="1:19" x14ac:dyDescent="0.15">
      <c r="A47" s="43"/>
      <c r="B47" s="53" t="s">
        <v>307</v>
      </c>
      <c r="C47" s="53"/>
      <c r="D47">
        <v>28</v>
      </c>
      <c r="S47" s="54">
        <v>28</v>
      </c>
    </row>
    <row r="48" spans="1:19" x14ac:dyDescent="0.15">
      <c r="A48" s="43"/>
      <c r="B48" s="53" t="s">
        <v>847</v>
      </c>
      <c r="C48" s="53"/>
      <c r="G48">
        <v>27</v>
      </c>
      <c r="S48" s="54">
        <v>27</v>
      </c>
    </row>
    <row r="49" spans="1:19" x14ac:dyDescent="0.15">
      <c r="A49" s="43"/>
      <c r="B49" s="53" t="s">
        <v>347</v>
      </c>
      <c r="C49" s="53"/>
      <c r="I49">
        <v>18</v>
      </c>
      <c r="S49" s="54">
        <v>18</v>
      </c>
    </row>
    <row r="50" spans="1:19" x14ac:dyDescent="0.15">
      <c r="A50" s="43"/>
      <c r="B50" s="53" t="s">
        <v>224</v>
      </c>
      <c r="C50" s="53"/>
      <c r="D50">
        <v>12</v>
      </c>
      <c r="S50" s="54">
        <v>12</v>
      </c>
    </row>
    <row r="51" spans="1:19" x14ac:dyDescent="0.15">
      <c r="A51" s="43"/>
      <c r="B51" s="53" t="s">
        <v>386</v>
      </c>
      <c r="C51" s="53"/>
      <c r="D51">
        <v>7</v>
      </c>
      <c r="S51" s="54">
        <v>7</v>
      </c>
    </row>
    <row r="52" spans="1:19" x14ac:dyDescent="0.15">
      <c r="A52" s="38" t="s">
        <v>692</v>
      </c>
      <c r="B52" s="36"/>
      <c r="C52" s="38"/>
      <c r="D52" s="39">
        <v>98</v>
      </c>
      <c r="E52" s="39"/>
      <c r="F52" s="39"/>
      <c r="G52" s="39">
        <v>27</v>
      </c>
      <c r="H52" s="39"/>
      <c r="I52" s="39">
        <v>18</v>
      </c>
      <c r="J52" s="39"/>
      <c r="K52" s="39"/>
      <c r="L52" s="39"/>
      <c r="M52" s="39"/>
      <c r="N52" s="39"/>
      <c r="O52" s="39"/>
      <c r="P52" s="39"/>
      <c r="Q52" s="39"/>
      <c r="R52" s="39"/>
      <c r="S52" s="52">
        <v>143</v>
      </c>
    </row>
    <row r="53" spans="1:19" x14ac:dyDescent="0.15">
      <c r="A53" s="44" t="s">
        <v>688</v>
      </c>
      <c r="B53" s="45"/>
      <c r="C53" s="44">
        <v>276</v>
      </c>
      <c r="D53" s="55">
        <v>98</v>
      </c>
      <c r="E53" s="55">
        <v>48</v>
      </c>
      <c r="F53" s="55">
        <v>36</v>
      </c>
      <c r="G53" s="55">
        <v>27</v>
      </c>
      <c r="H53" s="55">
        <v>22</v>
      </c>
      <c r="I53" s="55">
        <v>18</v>
      </c>
      <c r="J53" s="55">
        <v>13</v>
      </c>
      <c r="K53" s="55">
        <v>11</v>
      </c>
      <c r="L53" s="55">
        <v>10</v>
      </c>
      <c r="M53" s="55">
        <v>7</v>
      </c>
      <c r="N53" s="55">
        <v>3</v>
      </c>
      <c r="O53" s="55">
        <v>3</v>
      </c>
      <c r="P53" s="55">
        <v>1</v>
      </c>
      <c r="Q53" s="55">
        <v>1</v>
      </c>
      <c r="R53" s="55">
        <v>1</v>
      </c>
      <c r="S53" s="56">
        <v>575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D50" sqref="D50:D51"/>
    </sheetView>
  </sheetViews>
  <sheetFormatPr baseColWidth="10" defaultColWidth="8.83203125" defaultRowHeight="13" x14ac:dyDescent="0.15"/>
  <cols>
    <col min="1" max="1" width="8.6640625" customWidth="1"/>
    <col min="2" max="2" width="15.5" bestFit="1" customWidth="1"/>
    <col min="3" max="3" width="9.1640625" style="2" customWidth="1"/>
    <col min="4" max="4" width="11" bestFit="1" customWidth="1"/>
  </cols>
  <sheetData>
    <row r="1" spans="1:4" x14ac:dyDescent="0.15">
      <c r="A1" s="1" t="s">
        <v>404</v>
      </c>
      <c r="B1" s="1" t="s">
        <v>403</v>
      </c>
      <c r="C1" s="17" t="s">
        <v>405</v>
      </c>
      <c r="D1" s="26" t="s">
        <v>536</v>
      </c>
    </row>
    <row r="2" spans="1:4" x14ac:dyDescent="0.15">
      <c r="A2" t="s">
        <v>132</v>
      </c>
      <c r="B2" t="s">
        <v>412</v>
      </c>
      <c r="C2" s="2" t="s">
        <v>408</v>
      </c>
      <c r="D2">
        <f>COUNTIF('Log Book'!F:F, A2)</f>
        <v>72</v>
      </c>
    </row>
    <row r="3" spans="1:4" x14ac:dyDescent="0.15">
      <c r="A3" t="s">
        <v>572</v>
      </c>
      <c r="B3" t="s">
        <v>273</v>
      </c>
      <c r="C3" s="2" t="s">
        <v>274</v>
      </c>
      <c r="D3">
        <f>COUNTIF('Log Book'!F:F, A3)</f>
        <v>51</v>
      </c>
    </row>
    <row r="4" spans="1:4" x14ac:dyDescent="0.15">
      <c r="A4" t="s">
        <v>38</v>
      </c>
      <c r="B4" t="s">
        <v>97</v>
      </c>
      <c r="C4" s="2" t="s">
        <v>408</v>
      </c>
      <c r="D4">
        <f>COUNTIF('Log Book'!F:F, A4)</f>
        <v>47</v>
      </c>
    </row>
    <row r="5" spans="1:4" x14ac:dyDescent="0.15">
      <c r="A5" t="s">
        <v>490</v>
      </c>
      <c r="B5" t="s">
        <v>491</v>
      </c>
      <c r="C5" s="2" t="s">
        <v>408</v>
      </c>
      <c r="D5">
        <f>COUNTIF('Log Book'!F:F, A5)</f>
        <v>36</v>
      </c>
    </row>
    <row r="6" spans="1:4" x14ac:dyDescent="0.15">
      <c r="A6" t="s">
        <v>267</v>
      </c>
      <c r="B6" t="s">
        <v>412</v>
      </c>
      <c r="C6" s="2" t="s">
        <v>408</v>
      </c>
      <c r="D6">
        <f>COUNTIF('Log Book'!F:F, A6)</f>
        <v>30</v>
      </c>
    </row>
    <row r="7" spans="1:4" x14ac:dyDescent="0.15">
      <c r="A7" t="s">
        <v>187</v>
      </c>
      <c r="B7" t="s">
        <v>412</v>
      </c>
      <c r="C7" s="2" t="s">
        <v>408</v>
      </c>
      <c r="D7">
        <f>COUNTIF('Log Book'!F:F, A7)</f>
        <v>30</v>
      </c>
    </row>
    <row r="8" spans="1:4" x14ac:dyDescent="0.15">
      <c r="A8" t="s">
        <v>307</v>
      </c>
      <c r="B8" t="s">
        <v>273</v>
      </c>
      <c r="C8" s="2" t="s">
        <v>274</v>
      </c>
      <c r="D8">
        <f>COUNTIF('Log Book'!F:F, A8)</f>
        <v>28</v>
      </c>
    </row>
    <row r="9" spans="1:4" x14ac:dyDescent="0.15">
      <c r="A9" t="s">
        <v>847</v>
      </c>
      <c r="B9" t="s">
        <v>848</v>
      </c>
      <c r="C9" s="2" t="s">
        <v>274</v>
      </c>
      <c r="D9">
        <f>COUNTIF('Log Book'!F:F, A9)</f>
        <v>27</v>
      </c>
    </row>
    <row r="10" spans="1:4" x14ac:dyDescent="0.15">
      <c r="A10" t="s">
        <v>266</v>
      </c>
      <c r="B10" t="s">
        <v>412</v>
      </c>
      <c r="C10" s="2" t="s">
        <v>408</v>
      </c>
      <c r="D10">
        <f>COUNTIF('Log Book'!F:F, A10)</f>
        <v>32</v>
      </c>
    </row>
    <row r="11" spans="1:4" x14ac:dyDescent="0.15">
      <c r="A11" t="s">
        <v>228</v>
      </c>
      <c r="B11" t="s">
        <v>412</v>
      </c>
      <c r="C11" s="2" t="s">
        <v>408</v>
      </c>
      <c r="D11">
        <f>COUNTIF('Log Book'!F:F, A11)</f>
        <v>20</v>
      </c>
    </row>
    <row r="12" spans="1:4" x14ac:dyDescent="0.15">
      <c r="A12" t="s">
        <v>347</v>
      </c>
      <c r="B12" t="s">
        <v>348</v>
      </c>
      <c r="C12" s="2" t="s">
        <v>274</v>
      </c>
      <c r="D12">
        <f>COUNTIF('Log Book'!F:F, A12)</f>
        <v>18</v>
      </c>
    </row>
    <row r="13" spans="1:4" x14ac:dyDescent="0.15">
      <c r="A13" t="s">
        <v>54</v>
      </c>
      <c r="B13" t="s">
        <v>108</v>
      </c>
      <c r="C13" s="2" t="s">
        <v>408</v>
      </c>
      <c r="D13">
        <f>COUNTIF('Log Book'!F:F, A13)</f>
        <v>16</v>
      </c>
    </row>
    <row r="14" spans="1:4" x14ac:dyDescent="0.15">
      <c r="A14" t="s">
        <v>319</v>
      </c>
      <c r="B14" t="s">
        <v>412</v>
      </c>
      <c r="C14" s="2" t="s">
        <v>408</v>
      </c>
      <c r="D14">
        <f>COUNTIF('Log Book'!F:F, A14)</f>
        <v>15</v>
      </c>
    </row>
    <row r="15" spans="1:4" x14ac:dyDescent="0.15">
      <c r="A15" t="s">
        <v>331</v>
      </c>
      <c r="B15" t="s">
        <v>332</v>
      </c>
      <c r="C15" s="2" t="s">
        <v>331</v>
      </c>
      <c r="D15">
        <f>COUNTIF('Log Book'!F:F, A15)</f>
        <v>14</v>
      </c>
    </row>
    <row r="16" spans="1:4" x14ac:dyDescent="0.15">
      <c r="A16" t="s">
        <v>516</v>
      </c>
      <c r="B16" t="s">
        <v>517</v>
      </c>
      <c r="C16" s="2" t="s">
        <v>408</v>
      </c>
      <c r="D16">
        <f>COUNTIF('Log Book'!F:F, A16)</f>
        <v>13</v>
      </c>
    </row>
    <row r="17" spans="1:4" x14ac:dyDescent="0.15">
      <c r="A17" t="s">
        <v>224</v>
      </c>
      <c r="B17" t="s">
        <v>273</v>
      </c>
      <c r="C17" s="2" t="s">
        <v>274</v>
      </c>
      <c r="D17">
        <f>COUNTIF('Log Book'!F:F, A17)</f>
        <v>12</v>
      </c>
    </row>
    <row r="18" spans="1:4" x14ac:dyDescent="0.15">
      <c r="A18" t="s">
        <v>540</v>
      </c>
      <c r="B18" t="s">
        <v>541</v>
      </c>
      <c r="C18" s="2" t="s">
        <v>408</v>
      </c>
      <c r="D18">
        <f>COUNTIF('Log Book'!F:F, A18)</f>
        <v>11</v>
      </c>
    </row>
    <row r="19" spans="1:4" x14ac:dyDescent="0.15">
      <c r="A19" t="s">
        <v>560</v>
      </c>
      <c r="B19" t="s">
        <v>412</v>
      </c>
      <c r="C19" s="2" t="s">
        <v>408</v>
      </c>
      <c r="D19">
        <f>COUNTIF('Log Book'!F:F, A19)</f>
        <v>10</v>
      </c>
    </row>
    <row r="20" spans="1:4" x14ac:dyDescent="0.15">
      <c r="A20" t="s">
        <v>378</v>
      </c>
      <c r="B20" t="s">
        <v>379</v>
      </c>
      <c r="C20" s="2" t="s">
        <v>408</v>
      </c>
      <c r="D20">
        <f>COUNTIF('Log Book'!F:F, A20)</f>
        <v>10</v>
      </c>
    </row>
    <row r="21" spans="1:4" x14ac:dyDescent="0.15">
      <c r="A21" t="s">
        <v>493</v>
      </c>
      <c r="B21" t="s">
        <v>412</v>
      </c>
      <c r="C21" s="2" t="s">
        <v>408</v>
      </c>
      <c r="D21">
        <f>COUNTIF('Log Book'!F:F, A21)</f>
        <v>8</v>
      </c>
    </row>
    <row r="22" spans="1:4" x14ac:dyDescent="0.15">
      <c r="A22" t="s">
        <v>264</v>
      </c>
      <c r="B22" t="s">
        <v>412</v>
      </c>
      <c r="C22" s="2" t="s">
        <v>408</v>
      </c>
      <c r="D22">
        <f>COUNTIF('Log Book'!F:F, A22)</f>
        <v>7</v>
      </c>
    </row>
    <row r="23" spans="1:4" x14ac:dyDescent="0.15">
      <c r="A23" t="s">
        <v>386</v>
      </c>
      <c r="B23" t="s">
        <v>273</v>
      </c>
      <c r="C23" s="2" t="s">
        <v>274</v>
      </c>
      <c r="D23">
        <f>COUNTIF('Log Book'!F:F, A23)</f>
        <v>7</v>
      </c>
    </row>
    <row r="24" spans="1:4" x14ac:dyDescent="0.15">
      <c r="A24" t="s">
        <v>206</v>
      </c>
      <c r="B24" t="s">
        <v>108</v>
      </c>
      <c r="C24" s="2" t="s">
        <v>408</v>
      </c>
      <c r="D24">
        <f>COUNTIF('Log Book'!F:F, A24)</f>
        <v>6</v>
      </c>
    </row>
    <row r="25" spans="1:4" x14ac:dyDescent="0.15">
      <c r="A25" t="s">
        <v>411</v>
      </c>
      <c r="B25" t="s">
        <v>412</v>
      </c>
      <c r="C25" s="2" t="s">
        <v>408</v>
      </c>
      <c r="D25">
        <f>COUNTIF('Log Book'!F:F, A25)</f>
        <v>5</v>
      </c>
    </row>
    <row r="26" spans="1:4" x14ac:dyDescent="0.15">
      <c r="A26" t="s">
        <v>322</v>
      </c>
      <c r="B26" t="s">
        <v>412</v>
      </c>
      <c r="C26" s="2" t="s">
        <v>408</v>
      </c>
      <c r="D26">
        <f>COUNTIF('Log Book'!F:F, A26)</f>
        <v>5</v>
      </c>
    </row>
    <row r="27" spans="1:4" x14ac:dyDescent="0.15">
      <c r="A27" t="s">
        <v>323</v>
      </c>
      <c r="B27" t="s">
        <v>412</v>
      </c>
      <c r="C27" s="2" t="s">
        <v>408</v>
      </c>
      <c r="D27">
        <f>COUNTIF('Log Book'!F:F, A27)</f>
        <v>4</v>
      </c>
    </row>
    <row r="28" spans="1:4" x14ac:dyDescent="0.15">
      <c r="A28" t="s">
        <v>413</v>
      </c>
      <c r="B28" t="s">
        <v>412</v>
      </c>
      <c r="C28" s="2" t="s">
        <v>408</v>
      </c>
      <c r="D28">
        <f>COUNTIF('Log Book'!F:F, A28)</f>
        <v>4</v>
      </c>
    </row>
    <row r="29" spans="1:4" x14ac:dyDescent="0.15">
      <c r="A29" t="s">
        <v>673</v>
      </c>
      <c r="B29" t="s">
        <v>412</v>
      </c>
      <c r="C29" s="2" t="s">
        <v>408</v>
      </c>
      <c r="D29">
        <f>COUNTIF('Log Book'!F:F, A29)</f>
        <v>7</v>
      </c>
    </row>
    <row r="30" spans="1:4" x14ac:dyDescent="0.15">
      <c r="A30" t="s">
        <v>95</v>
      </c>
      <c r="B30" t="s">
        <v>242</v>
      </c>
      <c r="C30" s="2" t="s">
        <v>408</v>
      </c>
      <c r="D30">
        <f>COUNTIF('Log Book'!F:F, A30)</f>
        <v>3</v>
      </c>
    </row>
    <row r="31" spans="1:4" x14ac:dyDescent="0.15">
      <c r="A31" t="s">
        <v>410</v>
      </c>
      <c r="B31" t="s">
        <v>407</v>
      </c>
      <c r="C31" s="2" t="s">
        <v>408</v>
      </c>
      <c r="D31">
        <f>COUNTIF('Log Book'!F:F, A31)</f>
        <v>3</v>
      </c>
    </row>
    <row r="32" spans="1:4" x14ac:dyDescent="0.15">
      <c r="A32" t="s">
        <v>406</v>
      </c>
      <c r="B32" t="s">
        <v>407</v>
      </c>
      <c r="C32" s="2" t="s">
        <v>408</v>
      </c>
      <c r="D32">
        <f>COUNTIF('Log Book'!F:F, A32)</f>
        <v>3</v>
      </c>
    </row>
    <row r="33" spans="1:4" x14ac:dyDescent="0.15">
      <c r="A33" t="s">
        <v>265</v>
      </c>
      <c r="B33" t="s">
        <v>412</v>
      </c>
      <c r="C33" s="2" t="s">
        <v>408</v>
      </c>
      <c r="D33">
        <f>COUNTIF('Log Book'!F:F, A33)</f>
        <v>5</v>
      </c>
    </row>
    <row r="34" spans="1:4" x14ac:dyDescent="0.15">
      <c r="A34" t="s">
        <v>423</v>
      </c>
      <c r="B34" t="s">
        <v>424</v>
      </c>
      <c r="C34" s="2" t="s">
        <v>408</v>
      </c>
      <c r="D34">
        <f>COUNTIF('Log Book'!F:F, A34)</f>
        <v>3</v>
      </c>
    </row>
    <row r="35" spans="1:4" x14ac:dyDescent="0.15">
      <c r="A35" t="s">
        <v>128</v>
      </c>
      <c r="B35" t="s">
        <v>412</v>
      </c>
      <c r="C35" s="2" t="s">
        <v>408</v>
      </c>
      <c r="D35">
        <f>COUNTIF('Log Book'!F:F, A35)</f>
        <v>2</v>
      </c>
    </row>
    <row r="36" spans="1:4" x14ac:dyDescent="0.15">
      <c r="A36" t="s">
        <v>369</v>
      </c>
      <c r="B36" t="s">
        <v>412</v>
      </c>
      <c r="C36" s="2" t="s">
        <v>408</v>
      </c>
      <c r="D36">
        <f>COUNTIF('Log Book'!F:F, A36)</f>
        <v>2</v>
      </c>
    </row>
    <row r="37" spans="1:4" x14ac:dyDescent="0.15">
      <c r="A37" t="s">
        <v>381</v>
      </c>
      <c r="B37" t="s">
        <v>412</v>
      </c>
      <c r="C37" s="2" t="s">
        <v>408</v>
      </c>
      <c r="D37">
        <f>COUNTIF('Log Book'!F:F, A37)</f>
        <v>2</v>
      </c>
    </row>
    <row r="38" spans="1:4" x14ac:dyDescent="0.15">
      <c r="A38" t="s">
        <v>409</v>
      </c>
      <c r="B38" t="s">
        <v>407</v>
      </c>
      <c r="C38" s="2" t="s">
        <v>408</v>
      </c>
      <c r="D38">
        <f>COUNTIF('Log Book'!F:F, A38)</f>
        <v>1</v>
      </c>
    </row>
    <row r="39" spans="1:4" x14ac:dyDescent="0.15">
      <c r="A39" t="s">
        <v>286</v>
      </c>
      <c r="B39" t="s">
        <v>287</v>
      </c>
      <c r="C39" s="2" t="s">
        <v>408</v>
      </c>
      <c r="D39">
        <f>COUNTIF('Log Book'!F:F, A39)</f>
        <v>1</v>
      </c>
    </row>
    <row r="40" spans="1:4" x14ac:dyDescent="0.15">
      <c r="A40" t="s">
        <v>96</v>
      </c>
      <c r="B40" t="s">
        <v>97</v>
      </c>
      <c r="C40" s="2" t="s">
        <v>408</v>
      </c>
      <c r="D40">
        <f>COUNTIF('Log Book'!F:F, A40)</f>
        <v>1</v>
      </c>
    </row>
    <row r="41" spans="1:4" x14ac:dyDescent="0.15">
      <c r="A41" t="s">
        <v>508</v>
      </c>
      <c r="B41" t="s">
        <v>507</v>
      </c>
      <c r="C41" s="2" t="s">
        <v>408</v>
      </c>
      <c r="D41">
        <f>COUNTIF('Log Book'!F:F, A41)</f>
        <v>1</v>
      </c>
    </row>
    <row r="42" spans="1:4" x14ac:dyDescent="0.15">
      <c r="A42" t="s">
        <v>868</v>
      </c>
      <c r="B42" t="s">
        <v>869</v>
      </c>
      <c r="C42" s="2" t="s">
        <v>408</v>
      </c>
      <c r="D42">
        <f>COUNTIF('Log Book'!F:F, A42)</f>
        <v>1</v>
      </c>
    </row>
    <row r="43" spans="1:4" x14ac:dyDescent="0.15">
      <c r="A43" t="s">
        <v>295</v>
      </c>
      <c r="B43" t="s">
        <v>412</v>
      </c>
      <c r="C43" s="2" t="s">
        <v>408</v>
      </c>
      <c r="D43">
        <f>COUNTIF('Log Book'!F:F, A43)</f>
        <v>1</v>
      </c>
    </row>
    <row r="44" spans="1:4" x14ac:dyDescent="0.15">
      <c r="A44" t="s">
        <v>179</v>
      </c>
      <c r="B44" t="s">
        <v>412</v>
      </c>
      <c r="C44" s="2" t="s">
        <v>408</v>
      </c>
      <c r="D44">
        <f>COUNTIF('Log Book'!F:F, A44)</f>
        <v>1</v>
      </c>
    </row>
    <row r="45" spans="1:4" x14ac:dyDescent="0.15">
      <c r="A45" t="s">
        <v>36</v>
      </c>
      <c r="B45" t="s">
        <v>412</v>
      </c>
      <c r="C45" s="2" t="s">
        <v>408</v>
      </c>
      <c r="D45">
        <f>COUNTIF('Log Book'!F:F, A45)</f>
        <v>1</v>
      </c>
    </row>
    <row r="46" spans="1:4" x14ac:dyDescent="0.15">
      <c r="A46" t="s">
        <v>55</v>
      </c>
      <c r="B46" t="s">
        <v>412</v>
      </c>
      <c r="C46" s="2" t="s">
        <v>408</v>
      </c>
      <c r="D46">
        <f>COUNTIF('Log Book'!F:F, A46)</f>
        <v>1</v>
      </c>
    </row>
    <row r="47" spans="1:4" x14ac:dyDescent="0.15">
      <c r="A47" t="s">
        <v>449</v>
      </c>
      <c r="B47" t="s">
        <v>412</v>
      </c>
      <c r="C47" s="2" t="s">
        <v>408</v>
      </c>
      <c r="D47">
        <f>COUNTIF('Log Book'!F:F, A47)</f>
        <v>0</v>
      </c>
    </row>
    <row r="48" spans="1:4" x14ac:dyDescent="0.15">
      <c r="A48" t="s">
        <v>556</v>
      </c>
      <c r="B48" t="s">
        <v>554</v>
      </c>
      <c r="C48" s="2" t="s">
        <v>555</v>
      </c>
      <c r="D48">
        <f>COUNTIF('Log Book'!F:F, A48)</f>
        <v>11</v>
      </c>
    </row>
    <row r="49" spans="1:4" x14ac:dyDescent="0.15">
      <c r="A49" s="33" t="s">
        <v>2696</v>
      </c>
      <c r="B49" s="33" t="s">
        <v>412</v>
      </c>
      <c r="C49" s="34" t="s">
        <v>408</v>
      </c>
      <c r="D49">
        <f>COUNTIF('Log Book'!F:F, A49)</f>
        <v>1</v>
      </c>
    </row>
    <row r="50" spans="1:4" x14ac:dyDescent="0.15">
      <c r="A50" s="33" t="s">
        <v>2699</v>
      </c>
      <c r="B50" s="33" t="s">
        <v>412</v>
      </c>
      <c r="C50" s="2" t="s">
        <v>408</v>
      </c>
      <c r="D50">
        <v>1</v>
      </c>
    </row>
    <row r="51" spans="1:4" x14ac:dyDescent="0.15">
      <c r="A51" s="33" t="s">
        <v>2703</v>
      </c>
      <c r="B51" s="33" t="s">
        <v>412</v>
      </c>
      <c r="C51" s="2" t="s">
        <v>408</v>
      </c>
      <c r="D51">
        <v>1</v>
      </c>
    </row>
  </sheetData>
  <phoneticPr fontId="0" type="noConversion"/>
  <pageMargins left="0.75" right="0.75" top="1" bottom="1" header="0.5" footer="0.5"/>
  <pageSetup paperSize="9" orientation="portrait"/>
  <headerFooter alignWithMargins="0"/>
  <ignoredErrors>
    <ignoredError sqref="D44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54"/>
  <sheetViews>
    <sheetView workbookViewId="0">
      <selection activeCell="A4" sqref="A4"/>
      <pivotSelection pane="bottomRight" activeRow="3" click="2" r:id="rId1">
        <pivotArea field="9" type="button" dataOnly="0" labelOnly="1" outline="0" axis="axisRow" fieldPosition="0"/>
      </pivotSelection>
    </sheetView>
  </sheetViews>
  <sheetFormatPr baseColWidth="10" defaultColWidth="8.83203125" defaultRowHeight="13" x14ac:dyDescent="0.15"/>
  <cols>
    <col min="1" max="1" width="18.83203125" bestFit="1" customWidth="1"/>
    <col min="2" max="2" width="10.6640625" bestFit="1" customWidth="1"/>
    <col min="3" max="3" width="9" customWidth="1"/>
    <col min="4" max="4" width="12.33203125" bestFit="1" customWidth="1"/>
    <col min="5" max="5" width="9.5" bestFit="1" customWidth="1"/>
    <col min="6" max="6" width="6.33203125" bestFit="1" customWidth="1"/>
    <col min="7" max="8" width="10.33203125" bestFit="1" customWidth="1"/>
    <col min="9" max="9" width="10.83203125" customWidth="1"/>
    <col min="10" max="10" width="8.33203125" bestFit="1" customWidth="1"/>
    <col min="11" max="11" width="9" bestFit="1" customWidth="1"/>
    <col min="12" max="12" width="7" bestFit="1" customWidth="1"/>
    <col min="13" max="13" width="8.6640625" bestFit="1" customWidth="1"/>
    <col min="14" max="14" width="9" bestFit="1" customWidth="1"/>
    <col min="15" max="15" width="10.5" bestFit="1" customWidth="1"/>
    <col min="16" max="16" width="7.5" bestFit="1" customWidth="1"/>
    <col min="17" max="17" width="9" bestFit="1" customWidth="1"/>
    <col min="18" max="18" width="5.5" bestFit="1" customWidth="1"/>
    <col min="19" max="19" width="7.1640625" bestFit="1" customWidth="1"/>
    <col min="20" max="20" width="11.1640625" bestFit="1" customWidth="1"/>
    <col min="21" max="21" width="10.83203125" customWidth="1"/>
    <col min="22" max="22" width="7.5" bestFit="1" customWidth="1"/>
    <col min="23" max="23" width="7.83203125" bestFit="1" customWidth="1"/>
    <col min="24" max="24" width="11.33203125" bestFit="1" customWidth="1"/>
    <col min="25" max="25" width="8.6640625" bestFit="1" customWidth="1"/>
    <col min="26" max="27" width="6.33203125" bestFit="1" customWidth="1"/>
    <col min="28" max="28" width="12.33203125" bestFit="1" customWidth="1"/>
  </cols>
  <sheetData>
    <row r="3" spans="1:5" x14ac:dyDescent="0.15">
      <c r="A3" s="35" t="s">
        <v>77</v>
      </c>
      <c r="B3" s="35" t="s">
        <v>690</v>
      </c>
      <c r="C3" s="36"/>
      <c r="D3" s="36"/>
      <c r="E3" s="37"/>
    </row>
    <row r="4" spans="1:5" x14ac:dyDescent="0.15">
      <c r="A4" s="35" t="s">
        <v>395</v>
      </c>
      <c r="B4" s="38" t="s">
        <v>408</v>
      </c>
      <c r="C4" s="39" t="s">
        <v>331</v>
      </c>
      <c r="D4" s="39" t="s">
        <v>274</v>
      </c>
      <c r="E4" s="51" t="s">
        <v>688</v>
      </c>
    </row>
    <row r="5" spans="1:5" x14ac:dyDescent="0.15">
      <c r="A5" s="38" t="s">
        <v>250</v>
      </c>
      <c r="B5" s="38">
        <v>313</v>
      </c>
      <c r="C5" s="39"/>
      <c r="D5" s="39">
        <v>60</v>
      </c>
      <c r="E5" s="52">
        <v>373</v>
      </c>
    </row>
    <row r="6" spans="1:5" x14ac:dyDescent="0.15">
      <c r="A6" s="53" t="s">
        <v>356</v>
      </c>
      <c r="B6" s="53">
        <v>17</v>
      </c>
      <c r="D6">
        <v>32</v>
      </c>
      <c r="E6" s="54">
        <v>49</v>
      </c>
    </row>
    <row r="7" spans="1:5" x14ac:dyDescent="0.15">
      <c r="A7" s="53" t="s">
        <v>549</v>
      </c>
      <c r="B7" s="53">
        <v>21</v>
      </c>
      <c r="E7" s="54">
        <v>21</v>
      </c>
    </row>
    <row r="8" spans="1:5" x14ac:dyDescent="0.15">
      <c r="A8" s="53" t="s">
        <v>693</v>
      </c>
      <c r="B8" s="53">
        <v>12</v>
      </c>
      <c r="D8">
        <v>5</v>
      </c>
      <c r="E8" s="54">
        <v>17</v>
      </c>
    </row>
    <row r="9" spans="1:5" x14ac:dyDescent="0.15">
      <c r="A9" s="53" t="s">
        <v>331</v>
      </c>
      <c r="B9" s="53"/>
      <c r="C9">
        <v>13</v>
      </c>
      <c r="E9" s="54">
        <v>13</v>
      </c>
    </row>
    <row r="10" spans="1:5" x14ac:dyDescent="0.15">
      <c r="A10" s="53" t="s">
        <v>120</v>
      </c>
      <c r="B10" s="53">
        <v>8</v>
      </c>
      <c r="D10">
        <v>3</v>
      </c>
      <c r="E10" s="54">
        <v>11</v>
      </c>
    </row>
    <row r="11" spans="1:5" x14ac:dyDescent="0.15">
      <c r="A11" s="53" t="s">
        <v>63</v>
      </c>
      <c r="B11" s="53">
        <v>2</v>
      </c>
      <c r="D11">
        <v>7</v>
      </c>
      <c r="E11" s="54">
        <v>9</v>
      </c>
    </row>
    <row r="12" spans="1:5" x14ac:dyDescent="0.15">
      <c r="A12" s="53" t="s">
        <v>789</v>
      </c>
      <c r="B12" s="53">
        <v>2</v>
      </c>
      <c r="D12">
        <v>7</v>
      </c>
      <c r="E12" s="54">
        <v>9</v>
      </c>
    </row>
    <row r="13" spans="1:5" x14ac:dyDescent="0.15">
      <c r="A13" s="53" t="s">
        <v>355</v>
      </c>
      <c r="B13" s="53">
        <v>3</v>
      </c>
      <c r="D13">
        <v>4</v>
      </c>
      <c r="E13" s="54">
        <v>7</v>
      </c>
    </row>
    <row r="14" spans="1:5" x14ac:dyDescent="0.15">
      <c r="A14" s="53" t="s">
        <v>497</v>
      </c>
      <c r="B14" s="53">
        <v>3</v>
      </c>
      <c r="D14">
        <v>4</v>
      </c>
      <c r="E14" s="54">
        <v>7</v>
      </c>
    </row>
    <row r="15" spans="1:5" x14ac:dyDescent="0.15">
      <c r="A15" s="53" t="s">
        <v>370</v>
      </c>
      <c r="B15" s="53">
        <v>3</v>
      </c>
      <c r="D15">
        <v>3</v>
      </c>
      <c r="E15" s="54">
        <v>6</v>
      </c>
    </row>
    <row r="16" spans="1:5" x14ac:dyDescent="0.15">
      <c r="A16" s="53" t="s">
        <v>15</v>
      </c>
      <c r="B16" s="53">
        <v>4</v>
      </c>
      <c r="E16" s="54">
        <v>4</v>
      </c>
    </row>
    <row r="17" spans="1:5" x14ac:dyDescent="0.15">
      <c r="A17" s="53" t="s">
        <v>144</v>
      </c>
      <c r="B17" s="53"/>
      <c r="D17">
        <v>3</v>
      </c>
      <c r="E17" s="54">
        <v>3</v>
      </c>
    </row>
    <row r="18" spans="1:5" x14ac:dyDescent="0.15">
      <c r="A18" s="53" t="s">
        <v>374</v>
      </c>
      <c r="B18" s="53">
        <v>3</v>
      </c>
      <c r="E18" s="54">
        <v>3</v>
      </c>
    </row>
    <row r="19" spans="1:5" x14ac:dyDescent="0.15">
      <c r="A19" s="53" t="s">
        <v>362</v>
      </c>
      <c r="B19" s="53">
        <v>3</v>
      </c>
      <c r="E19" s="54">
        <v>3</v>
      </c>
    </row>
    <row r="20" spans="1:5" x14ac:dyDescent="0.15">
      <c r="A20" s="53" t="s">
        <v>3</v>
      </c>
      <c r="B20" s="53">
        <v>3</v>
      </c>
      <c r="E20" s="54">
        <v>3</v>
      </c>
    </row>
    <row r="21" spans="1:5" x14ac:dyDescent="0.15">
      <c r="A21" s="53" t="s">
        <v>450</v>
      </c>
      <c r="B21" s="53">
        <v>3</v>
      </c>
      <c r="E21" s="54">
        <v>3</v>
      </c>
    </row>
    <row r="22" spans="1:5" x14ac:dyDescent="0.15">
      <c r="A22" s="53" t="s">
        <v>122</v>
      </c>
      <c r="B22" s="53">
        <v>1</v>
      </c>
      <c r="D22">
        <v>2</v>
      </c>
      <c r="E22" s="54">
        <v>3</v>
      </c>
    </row>
    <row r="23" spans="1:5" x14ac:dyDescent="0.15">
      <c r="A23" s="53" t="s">
        <v>154</v>
      </c>
      <c r="B23" s="53">
        <v>3</v>
      </c>
      <c r="E23" s="54">
        <v>3</v>
      </c>
    </row>
    <row r="24" spans="1:5" x14ac:dyDescent="0.15">
      <c r="A24" s="53" t="s">
        <v>25</v>
      </c>
      <c r="B24" s="53">
        <v>2</v>
      </c>
      <c r="E24" s="54">
        <v>2</v>
      </c>
    </row>
    <row r="25" spans="1:5" x14ac:dyDescent="0.15">
      <c r="A25" s="53" t="s">
        <v>65</v>
      </c>
      <c r="B25" s="53">
        <v>2</v>
      </c>
      <c r="E25" s="54">
        <v>2</v>
      </c>
    </row>
    <row r="26" spans="1:5" x14ac:dyDescent="0.15">
      <c r="A26" s="53" t="s">
        <v>17</v>
      </c>
      <c r="B26" s="53">
        <v>1</v>
      </c>
      <c r="D26">
        <v>1</v>
      </c>
      <c r="E26" s="54">
        <v>2</v>
      </c>
    </row>
    <row r="27" spans="1:5" x14ac:dyDescent="0.15">
      <c r="A27" s="53" t="s">
        <v>10</v>
      </c>
      <c r="B27" s="53">
        <v>2</v>
      </c>
      <c r="E27" s="54">
        <v>2</v>
      </c>
    </row>
    <row r="28" spans="1:5" x14ac:dyDescent="0.15">
      <c r="A28" s="53" t="s">
        <v>13</v>
      </c>
      <c r="B28" s="53"/>
      <c r="D28">
        <v>2</v>
      </c>
      <c r="E28" s="54">
        <v>2</v>
      </c>
    </row>
    <row r="29" spans="1:5" x14ac:dyDescent="0.15">
      <c r="A29" s="53" t="s">
        <v>57</v>
      </c>
      <c r="B29" s="53">
        <v>2</v>
      </c>
      <c r="E29" s="54">
        <v>2</v>
      </c>
    </row>
    <row r="30" spans="1:5" x14ac:dyDescent="0.15">
      <c r="A30" s="53" t="s">
        <v>74</v>
      </c>
      <c r="B30" s="53"/>
      <c r="C30">
        <v>1</v>
      </c>
      <c r="D30">
        <v>1</v>
      </c>
      <c r="E30" s="54">
        <v>2</v>
      </c>
    </row>
    <row r="31" spans="1:5" x14ac:dyDescent="0.15">
      <c r="A31" s="53" t="s">
        <v>149</v>
      </c>
      <c r="B31" s="53">
        <v>2</v>
      </c>
      <c r="E31" s="54">
        <v>2</v>
      </c>
    </row>
    <row r="32" spans="1:5" x14ac:dyDescent="0.15">
      <c r="A32" s="53" t="s">
        <v>230</v>
      </c>
      <c r="B32" s="53">
        <v>2</v>
      </c>
      <c r="E32" s="54">
        <v>2</v>
      </c>
    </row>
    <row r="33" spans="1:5" x14ac:dyDescent="0.15">
      <c r="A33" s="53" t="s">
        <v>60</v>
      </c>
      <c r="B33" s="53">
        <v>2</v>
      </c>
      <c r="E33" s="54">
        <v>2</v>
      </c>
    </row>
    <row r="34" spans="1:5" x14ac:dyDescent="0.15">
      <c r="A34" s="53" t="s">
        <v>581</v>
      </c>
      <c r="B34" s="53">
        <v>1</v>
      </c>
      <c r="D34">
        <v>1</v>
      </c>
      <c r="E34" s="54">
        <v>2</v>
      </c>
    </row>
    <row r="35" spans="1:5" x14ac:dyDescent="0.15">
      <c r="A35" s="53" t="s">
        <v>160</v>
      </c>
      <c r="B35" s="53">
        <v>2</v>
      </c>
      <c r="E35" s="54">
        <v>2</v>
      </c>
    </row>
    <row r="36" spans="1:5" x14ac:dyDescent="0.15">
      <c r="A36" s="53" t="s">
        <v>123</v>
      </c>
      <c r="B36" s="53"/>
      <c r="D36">
        <v>1</v>
      </c>
      <c r="E36" s="54">
        <v>1</v>
      </c>
    </row>
    <row r="37" spans="1:5" x14ac:dyDescent="0.15">
      <c r="A37" s="53" t="s">
        <v>21</v>
      </c>
      <c r="B37" s="53">
        <v>1</v>
      </c>
      <c r="E37" s="54">
        <v>1</v>
      </c>
    </row>
    <row r="38" spans="1:5" x14ac:dyDescent="0.15">
      <c r="A38" s="53" t="s">
        <v>139</v>
      </c>
      <c r="B38" s="53"/>
      <c r="D38">
        <v>1</v>
      </c>
      <c r="E38" s="54">
        <v>1</v>
      </c>
    </row>
    <row r="39" spans="1:5" x14ac:dyDescent="0.15">
      <c r="A39" s="53" t="s">
        <v>382</v>
      </c>
      <c r="B39" s="53">
        <v>1</v>
      </c>
      <c r="E39" s="54">
        <v>1</v>
      </c>
    </row>
    <row r="40" spans="1:5" x14ac:dyDescent="0.15">
      <c r="A40" s="53" t="s">
        <v>6</v>
      </c>
      <c r="B40" s="53">
        <v>1</v>
      </c>
      <c r="E40" s="54">
        <v>1</v>
      </c>
    </row>
    <row r="41" spans="1:5" x14ac:dyDescent="0.15">
      <c r="A41" s="53" t="s">
        <v>786</v>
      </c>
      <c r="B41" s="53"/>
      <c r="D41">
        <v>1</v>
      </c>
      <c r="E41" s="54">
        <v>1</v>
      </c>
    </row>
    <row r="42" spans="1:5" x14ac:dyDescent="0.15">
      <c r="A42" s="53" t="s">
        <v>152</v>
      </c>
      <c r="B42" s="53">
        <v>1</v>
      </c>
      <c r="E42" s="54">
        <v>1</v>
      </c>
    </row>
    <row r="43" spans="1:5" x14ac:dyDescent="0.15">
      <c r="A43" s="53" t="s">
        <v>671</v>
      </c>
      <c r="B43" s="53"/>
      <c r="D43">
        <v>1</v>
      </c>
      <c r="E43" s="54">
        <v>1</v>
      </c>
    </row>
    <row r="44" spans="1:5" x14ac:dyDescent="0.15">
      <c r="A44" s="53" t="s">
        <v>141</v>
      </c>
      <c r="B44" s="53"/>
      <c r="D44">
        <v>1</v>
      </c>
      <c r="E44" s="54">
        <v>1</v>
      </c>
    </row>
    <row r="45" spans="1:5" x14ac:dyDescent="0.15">
      <c r="A45" s="53" t="s">
        <v>867</v>
      </c>
      <c r="B45" s="53"/>
      <c r="D45">
        <v>1</v>
      </c>
      <c r="E45" s="54">
        <v>1</v>
      </c>
    </row>
    <row r="46" spans="1:5" x14ac:dyDescent="0.15">
      <c r="A46" s="53" t="s">
        <v>68</v>
      </c>
      <c r="B46" s="53">
        <v>1</v>
      </c>
      <c r="E46" s="54">
        <v>1</v>
      </c>
    </row>
    <row r="47" spans="1:5" x14ac:dyDescent="0.15">
      <c r="A47" s="53" t="s">
        <v>297</v>
      </c>
      <c r="B47" s="53"/>
      <c r="D47">
        <v>1</v>
      </c>
      <c r="E47" s="54">
        <v>1</v>
      </c>
    </row>
    <row r="48" spans="1:5" x14ac:dyDescent="0.15">
      <c r="A48" s="53" t="s">
        <v>8</v>
      </c>
      <c r="B48" s="53">
        <v>1</v>
      </c>
      <c r="E48" s="54">
        <v>1</v>
      </c>
    </row>
    <row r="49" spans="1:5" x14ac:dyDescent="0.15">
      <c r="A49" s="53" t="s">
        <v>23</v>
      </c>
      <c r="B49" s="53">
        <v>1</v>
      </c>
      <c r="E49" s="54">
        <v>1</v>
      </c>
    </row>
    <row r="50" spans="1:5" x14ac:dyDescent="0.15">
      <c r="A50" s="53" t="s">
        <v>27</v>
      </c>
      <c r="B50" s="53">
        <v>1</v>
      </c>
      <c r="E50" s="54">
        <v>1</v>
      </c>
    </row>
    <row r="51" spans="1:5" x14ac:dyDescent="0.15">
      <c r="A51" s="53" t="s">
        <v>71</v>
      </c>
      <c r="B51" s="53">
        <v>1</v>
      </c>
      <c r="E51" s="54">
        <v>1</v>
      </c>
    </row>
    <row r="52" spans="1:5" x14ac:dyDescent="0.15">
      <c r="A52" s="53" t="s">
        <v>156</v>
      </c>
      <c r="B52" s="53">
        <v>1</v>
      </c>
      <c r="E52" s="54">
        <v>1</v>
      </c>
    </row>
    <row r="53" spans="1:5" x14ac:dyDescent="0.15">
      <c r="A53" s="53" t="s">
        <v>208</v>
      </c>
      <c r="B53" s="53"/>
      <c r="D53">
        <v>1</v>
      </c>
      <c r="E53" s="54">
        <v>1</v>
      </c>
    </row>
    <row r="54" spans="1:5" x14ac:dyDescent="0.15">
      <c r="A54" s="44" t="s">
        <v>688</v>
      </c>
      <c r="B54" s="44">
        <v>432</v>
      </c>
      <c r="C54" s="55">
        <v>14</v>
      </c>
      <c r="D54" s="55">
        <v>143</v>
      </c>
      <c r="E54" s="56">
        <v>589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06"/>
  <sheetViews>
    <sheetView zoomScaleNormal="100" workbookViewId="0">
      <pane ySplit="1" topLeftCell="A34" activePane="bottomLeft" state="frozen"/>
      <selection pane="bottomLeft" activeCell="A78" sqref="A78"/>
    </sheetView>
  </sheetViews>
  <sheetFormatPr baseColWidth="10" defaultRowHeight="13" x14ac:dyDescent="0.15"/>
  <cols>
    <col min="1" max="1" width="7" bestFit="1" customWidth="1"/>
    <col min="2" max="2" width="31.5" bestFit="1" customWidth="1"/>
    <col min="3" max="3" width="32" bestFit="1" customWidth="1"/>
  </cols>
  <sheetData>
    <row r="1" spans="1:3" x14ac:dyDescent="0.15">
      <c r="A1" t="s">
        <v>1264</v>
      </c>
      <c r="B1" t="s">
        <v>958</v>
      </c>
      <c r="C1" t="s">
        <v>703</v>
      </c>
    </row>
    <row r="2" spans="1:3" x14ac:dyDescent="0.15">
      <c r="A2" t="s">
        <v>714</v>
      </c>
      <c r="B2" t="s">
        <v>794</v>
      </c>
      <c r="C2" t="s">
        <v>795</v>
      </c>
    </row>
    <row r="3" spans="1:3" x14ac:dyDescent="0.15">
      <c r="A3" t="s">
        <v>715</v>
      </c>
      <c r="B3" t="s">
        <v>796</v>
      </c>
      <c r="C3" t="s">
        <v>797</v>
      </c>
    </row>
    <row r="4" spans="1:3" x14ac:dyDescent="0.15">
      <c r="A4" t="s">
        <v>716</v>
      </c>
      <c r="B4" t="s">
        <v>798</v>
      </c>
      <c r="C4" t="s">
        <v>795</v>
      </c>
    </row>
    <row r="5" spans="1:3" x14ac:dyDescent="0.15">
      <c r="A5" t="s">
        <v>828</v>
      </c>
      <c r="B5" t="s">
        <v>799</v>
      </c>
      <c r="C5" t="s">
        <v>800</v>
      </c>
    </row>
    <row r="6" spans="1:3" x14ac:dyDescent="0.15">
      <c r="A6" t="s">
        <v>717</v>
      </c>
      <c r="B6" t="s">
        <v>801</v>
      </c>
      <c r="C6" t="s">
        <v>802</v>
      </c>
    </row>
    <row r="7" spans="1:3" x14ac:dyDescent="0.15">
      <c r="A7" t="s">
        <v>718</v>
      </c>
      <c r="B7" t="s">
        <v>803</v>
      </c>
      <c r="C7" t="s">
        <v>804</v>
      </c>
    </row>
    <row r="8" spans="1:3" x14ac:dyDescent="0.15">
      <c r="A8" t="s">
        <v>829</v>
      </c>
      <c r="B8" t="s">
        <v>805</v>
      </c>
      <c r="C8" t="s">
        <v>806</v>
      </c>
    </row>
    <row r="9" spans="1:3" x14ac:dyDescent="0.15">
      <c r="A9" t="s">
        <v>830</v>
      </c>
      <c r="B9" t="s">
        <v>807</v>
      </c>
      <c r="C9" t="s">
        <v>808</v>
      </c>
    </row>
    <row r="10" spans="1:3" x14ac:dyDescent="0.15">
      <c r="A10" t="s">
        <v>719</v>
      </c>
      <c r="B10" t="s">
        <v>809</v>
      </c>
      <c r="C10" t="s">
        <v>810</v>
      </c>
    </row>
    <row r="11" spans="1:3" x14ac:dyDescent="0.15">
      <c r="A11" t="s">
        <v>831</v>
      </c>
      <c r="B11" t="s">
        <v>811</v>
      </c>
      <c r="C11" t="s">
        <v>812</v>
      </c>
    </row>
    <row r="12" spans="1:3" x14ac:dyDescent="0.15">
      <c r="A12" t="s">
        <v>720</v>
      </c>
      <c r="B12" t="s">
        <v>813</v>
      </c>
      <c r="C12" t="s">
        <v>814</v>
      </c>
    </row>
    <row r="13" spans="1:3" x14ac:dyDescent="0.15">
      <c r="A13" t="s">
        <v>721</v>
      </c>
      <c r="B13" t="s">
        <v>815</v>
      </c>
      <c r="C13" t="s">
        <v>816</v>
      </c>
    </row>
    <row r="14" spans="1:3" x14ac:dyDescent="0.15">
      <c r="A14" t="s">
        <v>832</v>
      </c>
      <c r="B14" t="s">
        <v>817</v>
      </c>
      <c r="C14" t="s">
        <v>818</v>
      </c>
    </row>
    <row r="15" spans="1:3" x14ac:dyDescent="0.15">
      <c r="A15" t="s">
        <v>722</v>
      </c>
      <c r="B15" t="s">
        <v>819</v>
      </c>
      <c r="C15" t="s">
        <v>1016</v>
      </c>
    </row>
    <row r="16" spans="1:3" x14ac:dyDescent="0.15">
      <c r="A16" t="s">
        <v>833</v>
      </c>
      <c r="B16" t="s">
        <v>1017</v>
      </c>
      <c r="C16" t="s">
        <v>1018</v>
      </c>
    </row>
    <row r="17" spans="1:3" x14ac:dyDescent="0.15">
      <c r="A17" t="s">
        <v>834</v>
      </c>
      <c r="B17" t="s">
        <v>1019</v>
      </c>
      <c r="C17" t="s">
        <v>1020</v>
      </c>
    </row>
    <row r="18" spans="1:3" x14ac:dyDescent="0.15">
      <c r="A18" t="s">
        <v>835</v>
      </c>
      <c r="B18" t="s">
        <v>1021</v>
      </c>
      <c r="C18" t="s">
        <v>1022</v>
      </c>
    </row>
    <row r="19" spans="1:3" x14ac:dyDescent="0.15">
      <c r="A19" t="s">
        <v>836</v>
      </c>
      <c r="B19" t="s">
        <v>1023</v>
      </c>
      <c r="C19" t="s">
        <v>1024</v>
      </c>
    </row>
    <row r="20" spans="1:3" x14ac:dyDescent="0.15">
      <c r="A20" t="s">
        <v>837</v>
      </c>
      <c r="B20" t="s">
        <v>1025</v>
      </c>
      <c r="C20" t="s">
        <v>1026</v>
      </c>
    </row>
    <row r="21" spans="1:3" x14ac:dyDescent="0.15">
      <c r="A21" t="s">
        <v>838</v>
      </c>
      <c r="B21" t="s">
        <v>1027</v>
      </c>
      <c r="C21" t="s">
        <v>1028</v>
      </c>
    </row>
    <row r="22" spans="1:3" x14ac:dyDescent="0.15">
      <c r="A22" t="s">
        <v>839</v>
      </c>
      <c r="B22" t="s">
        <v>1029</v>
      </c>
      <c r="C22" t="s">
        <v>1030</v>
      </c>
    </row>
    <row r="23" spans="1:3" x14ac:dyDescent="0.15">
      <c r="A23" t="s">
        <v>723</v>
      </c>
      <c r="B23" t="s">
        <v>871</v>
      </c>
      <c r="C23" t="s">
        <v>1030</v>
      </c>
    </row>
    <row r="24" spans="1:3" x14ac:dyDescent="0.15">
      <c r="A24" t="s">
        <v>840</v>
      </c>
      <c r="B24" t="s">
        <v>872</v>
      </c>
      <c r="C24" t="s">
        <v>873</v>
      </c>
    </row>
    <row r="25" spans="1:3" x14ac:dyDescent="0.15">
      <c r="A25" t="s">
        <v>841</v>
      </c>
      <c r="B25" t="s">
        <v>874</v>
      </c>
      <c r="C25" t="s">
        <v>875</v>
      </c>
    </row>
    <row r="26" spans="1:3" x14ac:dyDescent="0.15">
      <c r="A26" t="s">
        <v>842</v>
      </c>
      <c r="B26" t="s">
        <v>876</v>
      </c>
      <c r="C26" t="s">
        <v>877</v>
      </c>
    </row>
    <row r="27" spans="1:3" x14ac:dyDescent="0.15">
      <c r="A27" t="s">
        <v>462</v>
      </c>
      <c r="B27" t="s">
        <v>878</v>
      </c>
      <c r="C27" t="s">
        <v>879</v>
      </c>
    </row>
    <row r="28" spans="1:3" x14ac:dyDescent="0.15">
      <c r="A28" t="s">
        <v>463</v>
      </c>
      <c r="B28" t="s">
        <v>880</v>
      </c>
      <c r="C28" t="s">
        <v>881</v>
      </c>
    </row>
    <row r="29" spans="1:3" x14ac:dyDescent="0.15">
      <c r="A29" t="s">
        <v>464</v>
      </c>
      <c r="B29" t="s">
        <v>882</v>
      </c>
      <c r="C29" t="s">
        <v>883</v>
      </c>
    </row>
    <row r="30" spans="1:3" x14ac:dyDescent="0.15">
      <c r="A30" t="s">
        <v>724</v>
      </c>
      <c r="B30" t="s">
        <v>694</v>
      </c>
      <c r="C30" t="s">
        <v>695</v>
      </c>
    </row>
    <row r="31" spans="1:3" x14ac:dyDescent="0.15">
      <c r="A31" t="s">
        <v>465</v>
      </c>
      <c r="B31" t="s">
        <v>696</v>
      </c>
      <c r="C31" t="s">
        <v>697</v>
      </c>
    </row>
    <row r="32" spans="1:3" x14ac:dyDescent="0.15">
      <c r="A32" t="s">
        <v>466</v>
      </c>
      <c r="B32" t="s">
        <v>698</v>
      </c>
      <c r="C32" t="s">
        <v>699</v>
      </c>
    </row>
    <row r="33" spans="1:3" x14ac:dyDescent="0.15">
      <c r="A33" t="s">
        <v>467</v>
      </c>
      <c r="B33" t="s">
        <v>700</v>
      </c>
      <c r="C33" t="s">
        <v>701</v>
      </c>
    </row>
    <row r="34" spans="1:3" x14ac:dyDescent="0.15">
      <c r="A34" t="s">
        <v>468</v>
      </c>
      <c r="B34" t="s">
        <v>702</v>
      </c>
      <c r="C34" t="s">
        <v>852</v>
      </c>
    </row>
    <row r="35" spans="1:3" x14ac:dyDescent="0.15">
      <c r="A35" t="s">
        <v>469</v>
      </c>
      <c r="B35" t="s">
        <v>853</v>
      </c>
      <c r="C35" t="s">
        <v>854</v>
      </c>
    </row>
    <row r="36" spans="1:3" x14ac:dyDescent="0.15">
      <c r="A36" t="s">
        <v>725</v>
      </c>
      <c r="B36" t="s">
        <v>855</v>
      </c>
      <c r="C36" t="s">
        <v>856</v>
      </c>
    </row>
    <row r="37" spans="1:3" x14ac:dyDescent="0.15">
      <c r="A37" t="s">
        <v>726</v>
      </c>
      <c r="B37" t="s">
        <v>857</v>
      </c>
      <c r="C37" t="s">
        <v>858</v>
      </c>
    </row>
    <row r="38" spans="1:3" x14ac:dyDescent="0.15">
      <c r="A38" t="s">
        <v>470</v>
      </c>
      <c r="B38" t="s">
        <v>859</v>
      </c>
      <c r="C38" t="s">
        <v>860</v>
      </c>
    </row>
    <row r="39" spans="1:3" x14ac:dyDescent="0.15">
      <c r="A39" t="s">
        <v>820</v>
      </c>
      <c r="B39" t="s">
        <v>861</v>
      </c>
      <c r="C39" t="s">
        <v>862</v>
      </c>
    </row>
    <row r="40" spans="1:3" x14ac:dyDescent="0.15">
      <c r="A40" t="s">
        <v>821</v>
      </c>
      <c r="B40" t="s">
        <v>863</v>
      </c>
      <c r="C40" t="s">
        <v>864</v>
      </c>
    </row>
    <row r="41" spans="1:3" x14ac:dyDescent="0.15">
      <c r="A41" t="s">
        <v>822</v>
      </c>
      <c r="B41" t="s">
        <v>865</v>
      </c>
      <c r="C41" t="s">
        <v>1066</v>
      </c>
    </row>
    <row r="42" spans="1:3" x14ac:dyDescent="0.15">
      <c r="A42" t="s">
        <v>823</v>
      </c>
      <c r="B42" t="s">
        <v>1067</v>
      </c>
      <c r="C42" t="s">
        <v>1068</v>
      </c>
    </row>
    <row r="43" spans="1:3" x14ac:dyDescent="0.15">
      <c r="A43" t="s">
        <v>824</v>
      </c>
      <c r="B43" t="s">
        <v>1069</v>
      </c>
      <c r="C43" t="s">
        <v>1070</v>
      </c>
    </row>
    <row r="44" spans="1:3" x14ac:dyDescent="0.15">
      <c r="A44" t="s">
        <v>825</v>
      </c>
      <c r="B44" t="s">
        <v>1071</v>
      </c>
      <c r="C44" t="s">
        <v>1072</v>
      </c>
    </row>
    <row r="45" spans="1:3" x14ac:dyDescent="0.15">
      <c r="A45" t="s">
        <v>826</v>
      </c>
      <c r="B45" t="s">
        <v>1073</v>
      </c>
      <c r="C45" t="s">
        <v>1074</v>
      </c>
    </row>
    <row r="46" spans="1:3" x14ac:dyDescent="0.15">
      <c r="A46" t="s">
        <v>827</v>
      </c>
      <c r="B46" t="s">
        <v>1075</v>
      </c>
      <c r="C46" t="s">
        <v>1076</v>
      </c>
    </row>
    <row r="47" spans="1:3" x14ac:dyDescent="0.15">
      <c r="A47" t="s">
        <v>727</v>
      </c>
      <c r="B47" t="s">
        <v>1077</v>
      </c>
      <c r="C47" t="s">
        <v>1078</v>
      </c>
    </row>
    <row r="48" spans="1:3" x14ac:dyDescent="0.15">
      <c r="A48" t="s">
        <v>728</v>
      </c>
      <c r="B48" t="s">
        <v>1079</v>
      </c>
      <c r="C48" t="s">
        <v>1076</v>
      </c>
    </row>
    <row r="49" spans="1:3" x14ac:dyDescent="0.15">
      <c r="A49" t="s">
        <v>586</v>
      </c>
      <c r="B49" t="s">
        <v>584</v>
      </c>
      <c r="C49" t="s">
        <v>585</v>
      </c>
    </row>
    <row r="50" spans="1:3" x14ac:dyDescent="0.15">
      <c r="A50" t="s">
        <v>729</v>
      </c>
      <c r="B50" t="s">
        <v>1080</v>
      </c>
      <c r="C50" t="s">
        <v>1081</v>
      </c>
    </row>
    <row r="51" spans="1:3" x14ac:dyDescent="0.15">
      <c r="A51" t="s">
        <v>730</v>
      </c>
      <c r="B51" t="s">
        <v>884</v>
      </c>
      <c r="C51" t="s">
        <v>885</v>
      </c>
    </row>
    <row r="52" spans="1:3" x14ac:dyDescent="0.15">
      <c r="A52" t="s">
        <v>731</v>
      </c>
      <c r="B52" t="s">
        <v>886</v>
      </c>
      <c r="C52" t="s">
        <v>887</v>
      </c>
    </row>
    <row r="53" spans="1:3" x14ac:dyDescent="0.15">
      <c r="A53" t="s">
        <v>732</v>
      </c>
      <c r="B53" t="s">
        <v>888</v>
      </c>
      <c r="C53" t="s">
        <v>889</v>
      </c>
    </row>
    <row r="54" spans="1:3" x14ac:dyDescent="0.15">
      <c r="A54" t="s">
        <v>733</v>
      </c>
      <c r="B54" t="s">
        <v>890</v>
      </c>
      <c r="C54" t="s">
        <v>891</v>
      </c>
    </row>
    <row r="55" spans="1:3" x14ac:dyDescent="0.15">
      <c r="A55" t="s">
        <v>734</v>
      </c>
      <c r="B55" t="s">
        <v>892</v>
      </c>
      <c r="C55" t="s">
        <v>893</v>
      </c>
    </row>
    <row r="56" spans="1:3" x14ac:dyDescent="0.15">
      <c r="A56" t="s">
        <v>735</v>
      </c>
      <c r="B56" t="s">
        <v>894</v>
      </c>
      <c r="C56" t="s">
        <v>895</v>
      </c>
    </row>
    <row r="57" spans="1:3" x14ac:dyDescent="0.15">
      <c r="A57" t="s">
        <v>736</v>
      </c>
      <c r="B57" t="s">
        <v>896</v>
      </c>
      <c r="C57" t="s">
        <v>897</v>
      </c>
    </row>
    <row r="58" spans="1:3" x14ac:dyDescent="0.15">
      <c r="A58" t="s">
        <v>737</v>
      </c>
      <c r="B58" t="s">
        <v>898</v>
      </c>
      <c r="C58" t="s">
        <v>899</v>
      </c>
    </row>
    <row r="59" spans="1:3" x14ac:dyDescent="0.15">
      <c r="A59" t="s">
        <v>738</v>
      </c>
      <c r="B59" t="s">
        <v>900</v>
      </c>
      <c r="C59" t="s">
        <v>901</v>
      </c>
    </row>
    <row r="60" spans="1:3" x14ac:dyDescent="0.15">
      <c r="A60" t="s">
        <v>739</v>
      </c>
      <c r="B60" t="s">
        <v>902</v>
      </c>
      <c r="C60" t="s">
        <v>903</v>
      </c>
    </row>
    <row r="61" spans="1:3" x14ac:dyDescent="0.15">
      <c r="A61" t="s">
        <v>648</v>
      </c>
      <c r="B61" t="s">
        <v>1087</v>
      </c>
      <c r="C61" t="s">
        <v>1088</v>
      </c>
    </row>
    <row r="62" spans="1:3" x14ac:dyDescent="0.15">
      <c r="A62" t="s">
        <v>649</v>
      </c>
      <c r="B62" t="s">
        <v>1089</v>
      </c>
      <c r="C62" t="s">
        <v>1090</v>
      </c>
    </row>
    <row r="63" spans="1:3" x14ac:dyDescent="0.15">
      <c r="A63" t="s">
        <v>740</v>
      </c>
      <c r="B63" t="s">
        <v>1091</v>
      </c>
      <c r="C63" t="s">
        <v>1092</v>
      </c>
    </row>
    <row r="64" spans="1:3" x14ac:dyDescent="0.15">
      <c r="A64" t="s">
        <v>741</v>
      </c>
      <c r="B64" t="s">
        <v>1093</v>
      </c>
      <c r="C64" t="s">
        <v>1090</v>
      </c>
    </row>
    <row r="65" spans="1:3" x14ac:dyDescent="0.15">
      <c r="A65" t="s">
        <v>742</v>
      </c>
      <c r="B65" t="s">
        <v>1094</v>
      </c>
      <c r="C65" t="s">
        <v>1095</v>
      </c>
    </row>
    <row r="66" spans="1:3" x14ac:dyDescent="0.15">
      <c r="A66" t="s">
        <v>650</v>
      </c>
      <c r="B66" t="s">
        <v>959</v>
      </c>
      <c r="C66" t="s">
        <v>960</v>
      </c>
    </row>
    <row r="67" spans="1:3" x14ac:dyDescent="0.15">
      <c r="A67" t="s">
        <v>743</v>
      </c>
      <c r="B67" t="s">
        <v>762</v>
      </c>
      <c r="C67" t="s">
        <v>763</v>
      </c>
    </row>
    <row r="68" spans="1:3" x14ac:dyDescent="0.15">
      <c r="A68" t="s">
        <v>744</v>
      </c>
      <c r="B68" t="s">
        <v>764</v>
      </c>
      <c r="C68" t="s">
        <v>765</v>
      </c>
    </row>
    <row r="69" spans="1:3" x14ac:dyDescent="0.15">
      <c r="A69" t="s">
        <v>745</v>
      </c>
      <c r="B69" t="s">
        <v>766</v>
      </c>
      <c r="C69" t="s">
        <v>767</v>
      </c>
    </row>
    <row r="70" spans="1:3" x14ac:dyDescent="0.15">
      <c r="A70" t="s">
        <v>651</v>
      </c>
      <c r="B70" t="s">
        <v>768</v>
      </c>
      <c r="C70" t="s">
        <v>769</v>
      </c>
    </row>
    <row r="71" spans="1:3" x14ac:dyDescent="0.15">
      <c r="A71" t="s">
        <v>453</v>
      </c>
      <c r="B71" t="s">
        <v>770</v>
      </c>
      <c r="C71" t="s">
        <v>771</v>
      </c>
    </row>
    <row r="72" spans="1:3" x14ac:dyDescent="0.15">
      <c r="A72" t="s">
        <v>746</v>
      </c>
      <c r="B72" t="s">
        <v>772</v>
      </c>
      <c r="C72" t="s">
        <v>773</v>
      </c>
    </row>
    <row r="73" spans="1:3" x14ac:dyDescent="0.15">
      <c r="A73" t="s">
        <v>747</v>
      </c>
      <c r="B73" t="s">
        <v>774</v>
      </c>
      <c r="C73" t="s">
        <v>775</v>
      </c>
    </row>
    <row r="74" spans="1:3" x14ac:dyDescent="0.15">
      <c r="A74" t="s">
        <v>748</v>
      </c>
      <c r="B74" t="s">
        <v>776</v>
      </c>
      <c r="C74" t="s">
        <v>777</v>
      </c>
    </row>
    <row r="75" spans="1:3" x14ac:dyDescent="0.15">
      <c r="A75" t="s">
        <v>454</v>
      </c>
      <c r="B75" t="s">
        <v>977</v>
      </c>
      <c r="C75" t="s">
        <v>1076</v>
      </c>
    </row>
    <row r="76" spans="1:3" x14ac:dyDescent="0.15">
      <c r="A76" t="s">
        <v>749</v>
      </c>
      <c r="B76" t="s">
        <v>978</v>
      </c>
      <c r="C76" t="s">
        <v>979</v>
      </c>
    </row>
    <row r="77" spans="1:3" x14ac:dyDescent="0.15">
      <c r="A77" t="s">
        <v>750</v>
      </c>
      <c r="B77" t="s">
        <v>980</v>
      </c>
      <c r="C77" t="s">
        <v>1120</v>
      </c>
    </row>
    <row r="78" spans="1:3" x14ac:dyDescent="0.15">
      <c r="A78" t="s">
        <v>751</v>
      </c>
      <c r="B78" t="s">
        <v>1121</v>
      </c>
      <c r="C78" t="s">
        <v>1122</v>
      </c>
    </row>
    <row r="79" spans="1:3" x14ac:dyDescent="0.15">
      <c r="A79" t="s">
        <v>752</v>
      </c>
      <c r="B79" t="s">
        <v>1123</v>
      </c>
      <c r="C79" t="s">
        <v>1124</v>
      </c>
    </row>
    <row r="80" spans="1:3" x14ac:dyDescent="0.15">
      <c r="A80" t="s">
        <v>753</v>
      </c>
      <c r="B80" t="s">
        <v>1125</v>
      </c>
      <c r="C80" t="s">
        <v>1126</v>
      </c>
    </row>
    <row r="81" spans="1:3" x14ac:dyDescent="0.15">
      <c r="A81" t="s">
        <v>455</v>
      </c>
      <c r="B81" t="s">
        <v>1127</v>
      </c>
      <c r="C81" t="s">
        <v>1122</v>
      </c>
    </row>
    <row r="82" spans="1:3" x14ac:dyDescent="0.15">
      <c r="A82" t="s">
        <v>456</v>
      </c>
      <c r="B82" t="s">
        <v>1128</v>
      </c>
      <c r="C82" t="s">
        <v>1129</v>
      </c>
    </row>
    <row r="83" spans="1:3" x14ac:dyDescent="0.15">
      <c r="A83" t="s">
        <v>457</v>
      </c>
      <c r="B83" t="s">
        <v>961</v>
      </c>
      <c r="C83" t="s">
        <v>962</v>
      </c>
    </row>
    <row r="84" spans="1:3" x14ac:dyDescent="0.15">
      <c r="A84" t="s">
        <v>588</v>
      </c>
      <c r="B84" t="s">
        <v>963</v>
      </c>
      <c r="C84" t="s">
        <v>587</v>
      </c>
    </row>
    <row r="85" spans="1:3" x14ac:dyDescent="0.15">
      <c r="A85" t="s">
        <v>458</v>
      </c>
      <c r="B85" t="s">
        <v>964</v>
      </c>
      <c r="C85" t="s">
        <v>965</v>
      </c>
    </row>
    <row r="86" spans="1:3" x14ac:dyDescent="0.15">
      <c r="A86" t="s">
        <v>459</v>
      </c>
      <c r="B86" t="s">
        <v>966</v>
      </c>
      <c r="C86" t="s">
        <v>967</v>
      </c>
    </row>
    <row r="87" spans="1:3" x14ac:dyDescent="0.15">
      <c r="A87" t="s">
        <v>460</v>
      </c>
      <c r="B87" t="s">
        <v>968</v>
      </c>
      <c r="C87" t="s">
        <v>969</v>
      </c>
    </row>
    <row r="88" spans="1:3" x14ac:dyDescent="0.15">
      <c r="A88" t="s">
        <v>461</v>
      </c>
      <c r="B88" t="s">
        <v>970</v>
      </c>
      <c r="C88" t="s">
        <v>971</v>
      </c>
    </row>
    <row r="89" spans="1:3" x14ac:dyDescent="0.15">
      <c r="A89" t="s">
        <v>632</v>
      </c>
      <c r="B89" t="s">
        <v>972</v>
      </c>
      <c r="C89" t="s">
        <v>973</v>
      </c>
    </row>
    <row r="90" spans="1:3" x14ac:dyDescent="0.15">
      <c r="A90" t="s">
        <v>754</v>
      </c>
      <c r="B90" t="s">
        <v>974</v>
      </c>
      <c r="C90" t="s">
        <v>975</v>
      </c>
    </row>
    <row r="91" spans="1:3" x14ac:dyDescent="0.15">
      <c r="A91" t="s">
        <v>755</v>
      </c>
      <c r="B91" t="s">
        <v>976</v>
      </c>
      <c r="C91" t="s">
        <v>1147</v>
      </c>
    </row>
    <row r="92" spans="1:3" x14ac:dyDescent="0.15">
      <c r="A92" t="s">
        <v>756</v>
      </c>
      <c r="B92" t="s">
        <v>1148</v>
      </c>
      <c r="C92" t="s">
        <v>1149</v>
      </c>
    </row>
    <row r="93" spans="1:3" x14ac:dyDescent="0.15">
      <c r="A93" t="s">
        <v>757</v>
      </c>
      <c r="B93" t="s">
        <v>1150</v>
      </c>
      <c r="C93" t="s">
        <v>1151</v>
      </c>
    </row>
    <row r="94" spans="1:3" x14ac:dyDescent="0.15">
      <c r="A94" t="s">
        <v>904</v>
      </c>
      <c r="B94" t="s">
        <v>1152</v>
      </c>
      <c r="C94" t="s">
        <v>767</v>
      </c>
    </row>
    <row r="95" spans="1:3" x14ac:dyDescent="0.15">
      <c r="A95" t="s">
        <v>633</v>
      </c>
      <c r="B95" t="s">
        <v>1153</v>
      </c>
      <c r="C95" t="s">
        <v>1154</v>
      </c>
    </row>
    <row r="96" spans="1:3" x14ac:dyDescent="0.15">
      <c r="A96" t="s">
        <v>634</v>
      </c>
      <c r="B96" t="s">
        <v>1155</v>
      </c>
      <c r="C96" t="s">
        <v>1156</v>
      </c>
    </row>
    <row r="97" spans="1:3" x14ac:dyDescent="0.15">
      <c r="A97" t="s">
        <v>635</v>
      </c>
      <c r="B97" t="s">
        <v>1157</v>
      </c>
      <c r="C97" t="s">
        <v>1158</v>
      </c>
    </row>
    <row r="98" spans="1:3" x14ac:dyDescent="0.15">
      <c r="A98" t="s">
        <v>905</v>
      </c>
      <c r="B98" t="s">
        <v>1159</v>
      </c>
      <c r="C98" t="s">
        <v>767</v>
      </c>
    </row>
    <row r="99" spans="1:3" x14ac:dyDescent="0.15">
      <c r="A99" t="s">
        <v>906</v>
      </c>
      <c r="B99" t="s">
        <v>1160</v>
      </c>
      <c r="C99" t="s">
        <v>1004</v>
      </c>
    </row>
    <row r="100" spans="1:3" x14ac:dyDescent="0.15">
      <c r="A100" t="s">
        <v>636</v>
      </c>
      <c r="B100" t="s">
        <v>1005</v>
      </c>
      <c r="C100" t="s">
        <v>1006</v>
      </c>
    </row>
    <row r="101" spans="1:3" x14ac:dyDescent="0.15">
      <c r="A101" t="s">
        <v>907</v>
      </c>
      <c r="B101" t="s">
        <v>1007</v>
      </c>
      <c r="C101" t="s">
        <v>767</v>
      </c>
    </row>
    <row r="102" spans="1:3" x14ac:dyDescent="0.15">
      <c r="A102" t="s">
        <v>637</v>
      </c>
      <c r="B102" t="s">
        <v>1008</v>
      </c>
      <c r="C102" t="s">
        <v>1009</v>
      </c>
    </row>
    <row r="103" spans="1:3" x14ac:dyDescent="0.15">
      <c r="A103" t="s">
        <v>908</v>
      </c>
      <c r="B103" t="s">
        <v>1010</v>
      </c>
      <c r="C103" t="s">
        <v>1011</v>
      </c>
    </row>
    <row r="104" spans="1:3" x14ac:dyDescent="0.15">
      <c r="A104" t="s">
        <v>638</v>
      </c>
      <c r="B104" t="s">
        <v>1012</v>
      </c>
      <c r="C104" t="s">
        <v>1013</v>
      </c>
    </row>
    <row r="105" spans="1:3" x14ac:dyDescent="0.15">
      <c r="A105" t="s">
        <v>639</v>
      </c>
      <c r="B105" t="s">
        <v>1014</v>
      </c>
      <c r="C105" t="s">
        <v>1015</v>
      </c>
    </row>
    <row r="106" spans="1:3" x14ac:dyDescent="0.15">
      <c r="A106" t="s">
        <v>909</v>
      </c>
      <c r="B106" t="s">
        <v>1372</v>
      </c>
      <c r="C106" t="s">
        <v>1373</v>
      </c>
    </row>
    <row r="107" spans="1:3" x14ac:dyDescent="0.15">
      <c r="A107" t="s">
        <v>910</v>
      </c>
      <c r="B107" t="s">
        <v>1031</v>
      </c>
      <c r="C107" t="s">
        <v>767</v>
      </c>
    </row>
    <row r="108" spans="1:3" x14ac:dyDescent="0.15">
      <c r="A108" t="s">
        <v>640</v>
      </c>
      <c r="B108" t="s">
        <v>1032</v>
      </c>
      <c r="C108" t="s">
        <v>1033</v>
      </c>
    </row>
    <row r="109" spans="1:3" x14ac:dyDescent="0.15">
      <c r="A109" t="s">
        <v>713</v>
      </c>
      <c r="B109" t="s">
        <v>1034</v>
      </c>
      <c r="C109" t="s">
        <v>704</v>
      </c>
    </row>
    <row r="110" spans="1:3" x14ac:dyDescent="0.15">
      <c r="A110" t="s">
        <v>641</v>
      </c>
      <c r="B110" t="s">
        <v>1035</v>
      </c>
      <c r="C110" t="s">
        <v>1036</v>
      </c>
    </row>
    <row r="111" spans="1:3" x14ac:dyDescent="0.15">
      <c r="A111" t="s">
        <v>642</v>
      </c>
      <c r="B111" t="s">
        <v>1037</v>
      </c>
      <c r="C111" t="s">
        <v>1038</v>
      </c>
    </row>
    <row r="112" spans="1:3" x14ac:dyDescent="0.15">
      <c r="A112" t="s">
        <v>643</v>
      </c>
      <c r="B112" t="s">
        <v>1039</v>
      </c>
      <c r="C112" t="s">
        <v>767</v>
      </c>
    </row>
    <row r="113" spans="1:3" x14ac:dyDescent="0.15">
      <c r="A113" t="s">
        <v>644</v>
      </c>
      <c r="B113" t="s">
        <v>1040</v>
      </c>
      <c r="C113" t="s">
        <v>1041</v>
      </c>
    </row>
    <row r="114" spans="1:3" x14ac:dyDescent="0.15">
      <c r="A114" t="s">
        <v>911</v>
      </c>
      <c r="B114" t="s">
        <v>1042</v>
      </c>
      <c r="C114" t="s">
        <v>1043</v>
      </c>
    </row>
    <row r="115" spans="1:3" x14ac:dyDescent="0.15">
      <c r="A115" t="s">
        <v>912</v>
      </c>
      <c r="B115" t="s">
        <v>1044</v>
      </c>
      <c r="C115" t="s">
        <v>1045</v>
      </c>
    </row>
    <row r="116" spans="1:3" x14ac:dyDescent="0.15">
      <c r="A116" t="s">
        <v>913</v>
      </c>
      <c r="B116" t="s">
        <v>1046</v>
      </c>
      <c r="C116" t="s">
        <v>1047</v>
      </c>
    </row>
    <row r="117" spans="1:3" x14ac:dyDescent="0.15">
      <c r="A117" t="s">
        <v>645</v>
      </c>
      <c r="B117" t="s">
        <v>1048</v>
      </c>
      <c r="C117" t="s">
        <v>849</v>
      </c>
    </row>
    <row r="118" spans="1:3" x14ac:dyDescent="0.15">
      <c r="A118" t="s">
        <v>712</v>
      </c>
      <c r="B118" t="s">
        <v>850</v>
      </c>
      <c r="C118" t="s">
        <v>705</v>
      </c>
    </row>
    <row r="119" spans="1:3" x14ac:dyDescent="0.15">
      <c r="A119" t="s">
        <v>646</v>
      </c>
      <c r="B119" t="s">
        <v>851</v>
      </c>
      <c r="C119" t="s">
        <v>1186</v>
      </c>
    </row>
    <row r="120" spans="1:3" x14ac:dyDescent="0.15">
      <c r="A120" t="s">
        <v>711</v>
      </c>
      <c r="B120" t="s">
        <v>706</v>
      </c>
      <c r="C120" t="s">
        <v>707</v>
      </c>
    </row>
    <row r="121" spans="1:3" x14ac:dyDescent="0.15">
      <c r="A121" t="s">
        <v>647</v>
      </c>
      <c r="B121" t="s">
        <v>1187</v>
      </c>
      <c r="C121" t="s">
        <v>1016</v>
      </c>
    </row>
    <row r="122" spans="1:3" x14ac:dyDescent="0.15">
      <c r="A122" t="s">
        <v>620</v>
      </c>
      <c r="B122" t="s">
        <v>1188</v>
      </c>
      <c r="C122" t="s">
        <v>1189</v>
      </c>
    </row>
    <row r="123" spans="1:3" x14ac:dyDescent="0.15">
      <c r="A123" t="s">
        <v>914</v>
      </c>
      <c r="B123" t="s">
        <v>1190</v>
      </c>
      <c r="C123" t="s">
        <v>1191</v>
      </c>
    </row>
    <row r="124" spans="1:3" x14ac:dyDescent="0.15">
      <c r="A124" t="s">
        <v>915</v>
      </c>
      <c r="B124" t="s">
        <v>1192</v>
      </c>
      <c r="C124" t="s">
        <v>1193</v>
      </c>
    </row>
    <row r="125" spans="1:3" x14ac:dyDescent="0.15">
      <c r="A125" t="s">
        <v>621</v>
      </c>
      <c r="B125" t="s">
        <v>1194</v>
      </c>
      <c r="C125" t="s">
        <v>1195</v>
      </c>
    </row>
    <row r="126" spans="1:3" x14ac:dyDescent="0.15">
      <c r="A126" t="s">
        <v>916</v>
      </c>
      <c r="B126" t="s">
        <v>1196</v>
      </c>
      <c r="C126" t="s">
        <v>1197</v>
      </c>
    </row>
    <row r="127" spans="1:3" x14ac:dyDescent="0.15">
      <c r="A127" t="s">
        <v>917</v>
      </c>
      <c r="B127" t="s">
        <v>1198</v>
      </c>
      <c r="C127" t="s">
        <v>1199</v>
      </c>
    </row>
    <row r="128" spans="1:3" x14ac:dyDescent="0.15">
      <c r="A128" t="s">
        <v>918</v>
      </c>
      <c r="B128" t="s">
        <v>1200</v>
      </c>
      <c r="C128" t="s">
        <v>1201</v>
      </c>
    </row>
    <row r="129" spans="1:3" x14ac:dyDescent="0.15">
      <c r="A129" t="s">
        <v>919</v>
      </c>
      <c r="B129" t="s">
        <v>1202</v>
      </c>
      <c r="C129" t="s">
        <v>1203</v>
      </c>
    </row>
    <row r="130" spans="1:3" x14ac:dyDescent="0.15">
      <c r="A130" t="s">
        <v>622</v>
      </c>
      <c r="B130" t="s">
        <v>1204</v>
      </c>
      <c r="C130" t="s">
        <v>1205</v>
      </c>
    </row>
    <row r="131" spans="1:3" x14ac:dyDescent="0.15">
      <c r="A131" t="s">
        <v>920</v>
      </c>
      <c r="B131" t="s">
        <v>1206</v>
      </c>
      <c r="C131" t="s">
        <v>1049</v>
      </c>
    </row>
    <row r="132" spans="1:3" x14ac:dyDescent="0.15">
      <c r="A132" t="s">
        <v>921</v>
      </c>
      <c r="B132" t="s">
        <v>1050</v>
      </c>
      <c r="C132" t="s">
        <v>1051</v>
      </c>
    </row>
    <row r="133" spans="1:3" x14ac:dyDescent="0.15">
      <c r="A133" t="s">
        <v>922</v>
      </c>
      <c r="B133" t="s">
        <v>1052</v>
      </c>
      <c r="C133" t="s">
        <v>1053</v>
      </c>
    </row>
    <row r="134" spans="1:3" x14ac:dyDescent="0.15">
      <c r="A134" t="s">
        <v>623</v>
      </c>
      <c r="B134" t="s">
        <v>1054</v>
      </c>
      <c r="C134" t="s">
        <v>1055</v>
      </c>
    </row>
    <row r="135" spans="1:3" x14ac:dyDescent="0.15">
      <c r="A135" t="s">
        <v>923</v>
      </c>
      <c r="B135" t="s">
        <v>1056</v>
      </c>
      <c r="C135" t="s">
        <v>1057</v>
      </c>
    </row>
    <row r="136" spans="1:3" x14ac:dyDescent="0.15">
      <c r="A136" t="s">
        <v>624</v>
      </c>
      <c r="B136" t="s">
        <v>1058</v>
      </c>
      <c r="C136" t="s">
        <v>699</v>
      </c>
    </row>
    <row r="137" spans="1:3" x14ac:dyDescent="0.15">
      <c r="A137" t="s">
        <v>924</v>
      </c>
      <c r="B137" t="s">
        <v>1059</v>
      </c>
      <c r="C137" t="s">
        <v>1060</v>
      </c>
    </row>
    <row r="138" spans="1:3" x14ac:dyDescent="0.15">
      <c r="A138" t="s">
        <v>625</v>
      </c>
      <c r="B138" t="s">
        <v>1061</v>
      </c>
      <c r="C138" t="s">
        <v>1062</v>
      </c>
    </row>
    <row r="139" spans="1:3" x14ac:dyDescent="0.15">
      <c r="A139" t="s">
        <v>626</v>
      </c>
      <c r="B139" t="s">
        <v>1063</v>
      </c>
      <c r="C139" t="s">
        <v>1064</v>
      </c>
    </row>
    <row r="140" spans="1:3" x14ac:dyDescent="0.15">
      <c r="A140" t="s">
        <v>627</v>
      </c>
      <c r="B140" t="s">
        <v>1065</v>
      </c>
      <c r="C140" t="s">
        <v>1245</v>
      </c>
    </row>
    <row r="141" spans="1:3" x14ac:dyDescent="0.15">
      <c r="A141" t="s">
        <v>628</v>
      </c>
      <c r="B141" t="s">
        <v>1246</v>
      </c>
      <c r="C141" t="s">
        <v>1247</v>
      </c>
    </row>
    <row r="142" spans="1:3" x14ac:dyDescent="0.15">
      <c r="A142" t="s">
        <v>629</v>
      </c>
      <c r="B142" t="s">
        <v>1248</v>
      </c>
      <c r="C142" t="s">
        <v>1249</v>
      </c>
    </row>
    <row r="143" spans="1:3" x14ac:dyDescent="0.15">
      <c r="A143" t="s">
        <v>925</v>
      </c>
      <c r="B143" t="s">
        <v>1250</v>
      </c>
      <c r="C143" t="s">
        <v>1247</v>
      </c>
    </row>
    <row r="144" spans="1:3" x14ac:dyDescent="0.15">
      <c r="A144" t="s">
        <v>630</v>
      </c>
      <c r="B144" t="s">
        <v>1251</v>
      </c>
      <c r="C144" t="s">
        <v>1252</v>
      </c>
    </row>
    <row r="145" spans="1:3" x14ac:dyDescent="0.15">
      <c r="A145" t="s">
        <v>926</v>
      </c>
      <c r="B145" t="s">
        <v>1253</v>
      </c>
      <c r="C145" t="s">
        <v>1254</v>
      </c>
    </row>
    <row r="146" spans="1:3" x14ac:dyDescent="0.15">
      <c r="A146" t="s">
        <v>927</v>
      </c>
      <c r="B146" t="s">
        <v>1255</v>
      </c>
      <c r="C146" t="s">
        <v>1256</v>
      </c>
    </row>
    <row r="147" spans="1:3" x14ac:dyDescent="0.15">
      <c r="A147" t="s">
        <v>928</v>
      </c>
      <c r="B147" t="s">
        <v>1257</v>
      </c>
      <c r="C147" t="s">
        <v>1258</v>
      </c>
    </row>
    <row r="148" spans="1:3" x14ac:dyDescent="0.15">
      <c r="A148" t="s">
        <v>929</v>
      </c>
      <c r="B148" t="s">
        <v>1259</v>
      </c>
      <c r="C148" t="s">
        <v>585</v>
      </c>
    </row>
    <row r="149" spans="1:3" x14ac:dyDescent="0.15">
      <c r="A149" t="s">
        <v>930</v>
      </c>
      <c r="B149" t="s">
        <v>1260</v>
      </c>
      <c r="C149" t="s">
        <v>1261</v>
      </c>
    </row>
    <row r="150" spans="1:3" x14ac:dyDescent="0.15">
      <c r="A150" t="s">
        <v>931</v>
      </c>
      <c r="B150" t="s">
        <v>1262</v>
      </c>
      <c r="C150" t="s">
        <v>1096</v>
      </c>
    </row>
    <row r="151" spans="1:3" x14ac:dyDescent="0.15">
      <c r="A151" t="s">
        <v>631</v>
      </c>
      <c r="B151" t="s">
        <v>1097</v>
      </c>
      <c r="C151" t="s">
        <v>1098</v>
      </c>
    </row>
    <row r="152" spans="1:3" x14ac:dyDescent="0.15">
      <c r="A152" t="s">
        <v>932</v>
      </c>
      <c r="B152" t="s">
        <v>1099</v>
      </c>
      <c r="C152" t="s">
        <v>1100</v>
      </c>
    </row>
    <row r="153" spans="1:3" x14ac:dyDescent="0.15">
      <c r="A153" t="s">
        <v>933</v>
      </c>
      <c r="B153" t="s">
        <v>1101</v>
      </c>
      <c r="C153" t="s">
        <v>1102</v>
      </c>
    </row>
    <row r="154" spans="1:3" x14ac:dyDescent="0.15">
      <c r="A154" t="s">
        <v>605</v>
      </c>
      <c r="B154" t="s">
        <v>1103</v>
      </c>
      <c r="C154" t="s">
        <v>1104</v>
      </c>
    </row>
    <row r="155" spans="1:3" x14ac:dyDescent="0.15">
      <c r="A155" t="s">
        <v>934</v>
      </c>
      <c r="B155" t="s">
        <v>1105</v>
      </c>
      <c r="C155" t="s">
        <v>1096</v>
      </c>
    </row>
    <row r="156" spans="1:3" x14ac:dyDescent="0.15">
      <c r="A156" t="s">
        <v>935</v>
      </c>
      <c r="B156" t="s">
        <v>1106</v>
      </c>
      <c r="C156" t="s">
        <v>1107</v>
      </c>
    </row>
    <row r="157" spans="1:3" x14ac:dyDescent="0.15">
      <c r="A157" t="s">
        <v>936</v>
      </c>
      <c r="B157" t="s">
        <v>1108</v>
      </c>
      <c r="C157" t="s">
        <v>901</v>
      </c>
    </row>
    <row r="158" spans="1:3" x14ac:dyDescent="0.15">
      <c r="A158" t="s">
        <v>937</v>
      </c>
      <c r="B158" t="s">
        <v>1109</v>
      </c>
      <c r="C158" t="s">
        <v>1110</v>
      </c>
    </row>
    <row r="159" spans="1:3" x14ac:dyDescent="0.15">
      <c r="A159" t="s">
        <v>938</v>
      </c>
      <c r="B159" t="s">
        <v>1111</v>
      </c>
      <c r="C159" t="s">
        <v>1112</v>
      </c>
    </row>
    <row r="160" spans="1:3" x14ac:dyDescent="0.15">
      <c r="A160" t="s">
        <v>939</v>
      </c>
      <c r="B160" t="s">
        <v>1113</v>
      </c>
      <c r="C160" t="s">
        <v>1114</v>
      </c>
    </row>
    <row r="161" spans="1:3" x14ac:dyDescent="0.15">
      <c r="A161" t="s">
        <v>940</v>
      </c>
      <c r="B161" t="s">
        <v>1115</v>
      </c>
      <c r="C161" t="s">
        <v>1116</v>
      </c>
    </row>
    <row r="162" spans="1:3" x14ac:dyDescent="0.15">
      <c r="A162" t="s">
        <v>941</v>
      </c>
      <c r="B162" t="s">
        <v>1117</v>
      </c>
      <c r="C162" t="s">
        <v>1118</v>
      </c>
    </row>
    <row r="163" spans="1:3" x14ac:dyDescent="0.15">
      <c r="A163" t="s">
        <v>942</v>
      </c>
      <c r="B163" t="s">
        <v>1119</v>
      </c>
      <c r="C163" t="s">
        <v>1274</v>
      </c>
    </row>
    <row r="164" spans="1:3" x14ac:dyDescent="0.15">
      <c r="A164" t="s">
        <v>943</v>
      </c>
      <c r="B164" t="s">
        <v>1275</v>
      </c>
      <c r="C164" t="s">
        <v>1276</v>
      </c>
    </row>
    <row r="165" spans="1:3" x14ac:dyDescent="0.15">
      <c r="A165" t="s">
        <v>606</v>
      </c>
      <c r="B165" t="s">
        <v>1277</v>
      </c>
      <c r="C165" t="s">
        <v>1278</v>
      </c>
    </row>
    <row r="166" spans="1:3" x14ac:dyDescent="0.15">
      <c r="A166" t="s">
        <v>944</v>
      </c>
      <c r="B166" t="s">
        <v>1279</v>
      </c>
      <c r="C166" t="s">
        <v>1280</v>
      </c>
    </row>
    <row r="167" spans="1:3" x14ac:dyDescent="0.15">
      <c r="A167" t="s">
        <v>607</v>
      </c>
      <c r="B167" t="s">
        <v>1281</v>
      </c>
      <c r="C167" t="s">
        <v>1282</v>
      </c>
    </row>
    <row r="168" spans="1:3" x14ac:dyDescent="0.15">
      <c r="A168" t="s">
        <v>608</v>
      </c>
      <c r="B168" t="s">
        <v>1283</v>
      </c>
      <c r="C168" t="s">
        <v>1284</v>
      </c>
    </row>
    <row r="169" spans="1:3" x14ac:dyDescent="0.15">
      <c r="A169" t="s">
        <v>945</v>
      </c>
      <c r="B169" t="s">
        <v>1285</v>
      </c>
      <c r="C169" t="s">
        <v>1041</v>
      </c>
    </row>
    <row r="170" spans="1:3" x14ac:dyDescent="0.15">
      <c r="A170" t="s">
        <v>609</v>
      </c>
      <c r="B170" t="s">
        <v>1286</v>
      </c>
      <c r="C170" t="s">
        <v>1287</v>
      </c>
    </row>
    <row r="171" spans="1:3" x14ac:dyDescent="0.15">
      <c r="A171" t="s">
        <v>946</v>
      </c>
      <c r="B171" t="s">
        <v>1288</v>
      </c>
      <c r="C171" t="s">
        <v>1289</v>
      </c>
    </row>
    <row r="172" spans="1:3" x14ac:dyDescent="0.15">
      <c r="A172" t="s">
        <v>610</v>
      </c>
      <c r="B172" t="s">
        <v>1290</v>
      </c>
      <c r="C172" t="s">
        <v>1291</v>
      </c>
    </row>
    <row r="173" spans="1:3" x14ac:dyDescent="0.15">
      <c r="A173" t="s">
        <v>947</v>
      </c>
      <c r="B173" t="s">
        <v>1292</v>
      </c>
      <c r="C173" t="s">
        <v>1293</v>
      </c>
    </row>
    <row r="174" spans="1:3" x14ac:dyDescent="0.15">
      <c r="A174" t="s">
        <v>611</v>
      </c>
      <c r="B174" t="s">
        <v>1294</v>
      </c>
      <c r="C174" t="s">
        <v>1293</v>
      </c>
    </row>
    <row r="175" spans="1:3" x14ac:dyDescent="0.15">
      <c r="A175" t="s">
        <v>612</v>
      </c>
      <c r="B175" t="s">
        <v>1295</v>
      </c>
      <c r="C175" t="s">
        <v>1296</v>
      </c>
    </row>
    <row r="176" spans="1:3" x14ac:dyDescent="0.15">
      <c r="A176" t="s">
        <v>613</v>
      </c>
      <c r="B176" t="s">
        <v>1297</v>
      </c>
      <c r="C176" t="s">
        <v>1298</v>
      </c>
    </row>
    <row r="177" spans="1:3" x14ac:dyDescent="0.15">
      <c r="A177" t="s">
        <v>614</v>
      </c>
      <c r="B177" t="s">
        <v>1299</v>
      </c>
      <c r="C177" t="s">
        <v>1300</v>
      </c>
    </row>
    <row r="178" spans="1:3" x14ac:dyDescent="0.15">
      <c r="A178" t="s">
        <v>615</v>
      </c>
      <c r="B178" t="s">
        <v>1301</v>
      </c>
      <c r="C178" t="s">
        <v>1041</v>
      </c>
    </row>
    <row r="179" spans="1:3" x14ac:dyDescent="0.15">
      <c r="A179" t="s">
        <v>616</v>
      </c>
      <c r="B179" t="s">
        <v>1302</v>
      </c>
      <c r="C179" t="s">
        <v>1303</v>
      </c>
    </row>
    <row r="180" spans="1:3" x14ac:dyDescent="0.15">
      <c r="A180" t="s">
        <v>617</v>
      </c>
      <c r="B180" t="s">
        <v>1304</v>
      </c>
      <c r="C180" t="s">
        <v>1289</v>
      </c>
    </row>
    <row r="181" spans="1:3" x14ac:dyDescent="0.15">
      <c r="A181" t="s">
        <v>618</v>
      </c>
      <c r="B181" t="s">
        <v>1305</v>
      </c>
      <c r="C181" t="s">
        <v>1306</v>
      </c>
    </row>
    <row r="182" spans="1:3" x14ac:dyDescent="0.15">
      <c r="A182" t="s">
        <v>619</v>
      </c>
      <c r="B182" t="s">
        <v>1307</v>
      </c>
      <c r="C182" t="s">
        <v>1308</v>
      </c>
    </row>
    <row r="183" spans="1:3" x14ac:dyDescent="0.15">
      <c r="A183" t="s">
        <v>948</v>
      </c>
      <c r="B183" t="s">
        <v>1309</v>
      </c>
      <c r="C183" t="s">
        <v>767</v>
      </c>
    </row>
    <row r="184" spans="1:3" x14ac:dyDescent="0.15">
      <c r="A184" t="s">
        <v>589</v>
      </c>
      <c r="B184" t="s">
        <v>1310</v>
      </c>
      <c r="C184" t="s">
        <v>1303</v>
      </c>
    </row>
    <row r="185" spans="1:3" x14ac:dyDescent="0.15">
      <c r="A185" t="s">
        <v>949</v>
      </c>
      <c r="B185" t="s">
        <v>1311</v>
      </c>
      <c r="C185" t="s">
        <v>1041</v>
      </c>
    </row>
    <row r="186" spans="1:3" x14ac:dyDescent="0.15">
      <c r="A186" t="s">
        <v>590</v>
      </c>
      <c r="B186" t="s">
        <v>1130</v>
      </c>
      <c r="C186" t="s">
        <v>1293</v>
      </c>
    </row>
    <row r="187" spans="1:3" x14ac:dyDescent="0.15">
      <c r="A187" t="s">
        <v>591</v>
      </c>
      <c r="B187" t="s">
        <v>1131</v>
      </c>
      <c r="C187" t="s">
        <v>1132</v>
      </c>
    </row>
    <row r="188" spans="1:3" x14ac:dyDescent="0.15">
      <c r="A188" t="s">
        <v>981</v>
      </c>
      <c r="B188" t="s">
        <v>1133</v>
      </c>
      <c r="C188" t="s">
        <v>1134</v>
      </c>
    </row>
    <row r="189" spans="1:3" x14ac:dyDescent="0.15">
      <c r="A189" t="s">
        <v>592</v>
      </c>
      <c r="B189" t="s">
        <v>1135</v>
      </c>
      <c r="C189" t="s">
        <v>1136</v>
      </c>
    </row>
    <row r="190" spans="1:3" x14ac:dyDescent="0.15">
      <c r="A190" t="s">
        <v>593</v>
      </c>
      <c r="B190" t="s">
        <v>1137</v>
      </c>
      <c r="C190" t="s">
        <v>1138</v>
      </c>
    </row>
    <row r="191" spans="1:3" x14ac:dyDescent="0.15">
      <c r="A191" t="s">
        <v>594</v>
      </c>
      <c r="B191" t="s">
        <v>1139</v>
      </c>
      <c r="C191" t="s">
        <v>1140</v>
      </c>
    </row>
    <row r="192" spans="1:3" x14ac:dyDescent="0.15">
      <c r="A192" t="s">
        <v>982</v>
      </c>
      <c r="B192" t="s">
        <v>1141</v>
      </c>
      <c r="C192" t="s">
        <v>1142</v>
      </c>
    </row>
    <row r="193" spans="1:3" x14ac:dyDescent="0.15">
      <c r="A193" t="s">
        <v>595</v>
      </c>
      <c r="B193" t="s">
        <v>1143</v>
      </c>
      <c r="C193" t="s">
        <v>1144</v>
      </c>
    </row>
    <row r="194" spans="1:3" x14ac:dyDescent="0.15">
      <c r="A194" t="s">
        <v>983</v>
      </c>
      <c r="B194" t="s">
        <v>1145</v>
      </c>
      <c r="C194" t="s">
        <v>1146</v>
      </c>
    </row>
    <row r="195" spans="1:3" x14ac:dyDescent="0.15">
      <c r="A195" t="s">
        <v>984</v>
      </c>
      <c r="B195" t="s">
        <v>1341</v>
      </c>
      <c r="C195" t="s">
        <v>1015</v>
      </c>
    </row>
    <row r="196" spans="1:3" x14ac:dyDescent="0.15">
      <c r="A196" t="s">
        <v>710</v>
      </c>
      <c r="B196" t="s">
        <v>708</v>
      </c>
      <c r="C196" t="s">
        <v>709</v>
      </c>
    </row>
    <row r="197" spans="1:3" x14ac:dyDescent="0.15">
      <c r="A197" t="s">
        <v>985</v>
      </c>
      <c r="B197" t="s">
        <v>1161</v>
      </c>
      <c r="C197" t="s">
        <v>1162</v>
      </c>
    </row>
    <row r="198" spans="1:3" x14ac:dyDescent="0.15">
      <c r="A198" t="s">
        <v>596</v>
      </c>
      <c r="B198" t="s">
        <v>1163</v>
      </c>
      <c r="C198" t="s">
        <v>1164</v>
      </c>
    </row>
    <row r="199" spans="1:3" x14ac:dyDescent="0.15">
      <c r="A199" t="s">
        <v>986</v>
      </c>
      <c r="B199" t="s">
        <v>1165</v>
      </c>
      <c r="C199" t="s">
        <v>1166</v>
      </c>
    </row>
    <row r="200" spans="1:3" x14ac:dyDescent="0.15">
      <c r="A200" t="s">
        <v>597</v>
      </c>
      <c r="B200" t="s">
        <v>1167</v>
      </c>
      <c r="C200" t="s">
        <v>1168</v>
      </c>
    </row>
    <row r="201" spans="1:3" x14ac:dyDescent="0.15">
      <c r="A201" t="s">
        <v>598</v>
      </c>
      <c r="B201" t="s">
        <v>1169</v>
      </c>
      <c r="C201" t="s">
        <v>1170</v>
      </c>
    </row>
    <row r="202" spans="1:3" x14ac:dyDescent="0.15">
      <c r="A202" t="s">
        <v>987</v>
      </c>
      <c r="B202" t="s">
        <v>1171</v>
      </c>
      <c r="C202" t="s">
        <v>1172</v>
      </c>
    </row>
    <row r="203" spans="1:3" x14ac:dyDescent="0.15">
      <c r="A203" t="s">
        <v>988</v>
      </c>
      <c r="B203" t="s">
        <v>1173</v>
      </c>
      <c r="C203" t="s">
        <v>1174</v>
      </c>
    </row>
    <row r="204" spans="1:3" x14ac:dyDescent="0.15">
      <c r="A204" t="s">
        <v>989</v>
      </c>
      <c r="B204" t="s">
        <v>1175</v>
      </c>
      <c r="C204" t="s">
        <v>1176</v>
      </c>
    </row>
    <row r="205" spans="1:3" x14ac:dyDescent="0.15">
      <c r="A205" t="s">
        <v>990</v>
      </c>
      <c r="B205" t="s">
        <v>1177</v>
      </c>
      <c r="C205" t="s">
        <v>1178</v>
      </c>
    </row>
    <row r="206" spans="1:3" x14ac:dyDescent="0.15">
      <c r="A206" t="s">
        <v>599</v>
      </c>
      <c r="B206" t="s">
        <v>1179</v>
      </c>
      <c r="C206" t="s">
        <v>1180</v>
      </c>
    </row>
    <row r="207" spans="1:3" x14ac:dyDescent="0.15">
      <c r="A207" t="s">
        <v>600</v>
      </c>
      <c r="B207" t="s">
        <v>1181</v>
      </c>
      <c r="C207" t="s">
        <v>1182</v>
      </c>
    </row>
    <row r="208" spans="1:3" x14ac:dyDescent="0.15">
      <c r="A208" t="s">
        <v>991</v>
      </c>
      <c r="B208" t="s">
        <v>1183</v>
      </c>
      <c r="C208" t="s">
        <v>1184</v>
      </c>
    </row>
    <row r="209" spans="1:3" x14ac:dyDescent="0.15">
      <c r="A209" t="s">
        <v>992</v>
      </c>
      <c r="B209" t="s">
        <v>1185</v>
      </c>
      <c r="C209" t="s">
        <v>1406</v>
      </c>
    </row>
    <row r="210" spans="1:3" x14ac:dyDescent="0.15">
      <c r="A210" t="s">
        <v>993</v>
      </c>
      <c r="B210" t="s">
        <v>1407</v>
      </c>
      <c r="C210" t="s">
        <v>1408</v>
      </c>
    </row>
    <row r="211" spans="1:3" x14ac:dyDescent="0.15">
      <c r="A211" t="s">
        <v>994</v>
      </c>
      <c r="B211" t="s">
        <v>1409</v>
      </c>
      <c r="C211" t="s">
        <v>1410</v>
      </c>
    </row>
    <row r="212" spans="1:3" x14ac:dyDescent="0.15">
      <c r="A212" t="s">
        <v>601</v>
      </c>
      <c r="B212" t="s">
        <v>1411</v>
      </c>
      <c r="C212" t="s">
        <v>1129</v>
      </c>
    </row>
    <row r="213" spans="1:3" x14ac:dyDescent="0.15">
      <c r="A213" t="s">
        <v>602</v>
      </c>
      <c r="B213" t="s">
        <v>1412</v>
      </c>
      <c r="C213" t="s">
        <v>1413</v>
      </c>
    </row>
    <row r="214" spans="1:3" x14ac:dyDescent="0.15">
      <c r="A214" t="s">
        <v>603</v>
      </c>
      <c r="B214" t="s">
        <v>1414</v>
      </c>
      <c r="C214" t="s">
        <v>1415</v>
      </c>
    </row>
    <row r="215" spans="1:3" x14ac:dyDescent="0.15">
      <c r="A215" t="s">
        <v>604</v>
      </c>
      <c r="B215" t="s">
        <v>1416</v>
      </c>
      <c r="C215" t="s">
        <v>1417</v>
      </c>
    </row>
    <row r="216" spans="1:3" x14ac:dyDescent="0.15">
      <c r="A216" t="s">
        <v>995</v>
      </c>
      <c r="B216" t="s">
        <v>1418</v>
      </c>
      <c r="C216" t="s">
        <v>1419</v>
      </c>
    </row>
    <row r="217" spans="1:3" x14ac:dyDescent="0.15">
      <c r="A217" t="s">
        <v>996</v>
      </c>
      <c r="B217" t="s">
        <v>1420</v>
      </c>
      <c r="C217" t="s">
        <v>1421</v>
      </c>
    </row>
    <row r="218" spans="1:3" x14ac:dyDescent="0.15">
      <c r="A218" t="s">
        <v>950</v>
      </c>
      <c r="B218" t="s">
        <v>1422</v>
      </c>
      <c r="C218" t="s">
        <v>1423</v>
      </c>
    </row>
    <row r="219" spans="1:3" x14ac:dyDescent="0.15">
      <c r="A219" t="s">
        <v>951</v>
      </c>
      <c r="B219" t="s">
        <v>1424</v>
      </c>
      <c r="C219" t="s">
        <v>1425</v>
      </c>
    </row>
    <row r="220" spans="1:3" x14ac:dyDescent="0.15">
      <c r="A220" t="s">
        <v>952</v>
      </c>
      <c r="B220" t="s">
        <v>1426</v>
      </c>
      <c r="C220" t="s">
        <v>1427</v>
      </c>
    </row>
    <row r="221" spans="1:3" x14ac:dyDescent="0.15">
      <c r="A221" t="s">
        <v>997</v>
      </c>
      <c r="B221" t="s">
        <v>1428</v>
      </c>
      <c r="C221" t="s">
        <v>1429</v>
      </c>
    </row>
    <row r="222" spans="1:3" x14ac:dyDescent="0.15">
      <c r="A222" t="s">
        <v>998</v>
      </c>
      <c r="B222" t="s">
        <v>1430</v>
      </c>
      <c r="C222" t="s">
        <v>1431</v>
      </c>
    </row>
    <row r="223" spans="1:3" x14ac:dyDescent="0.15">
      <c r="A223" t="s">
        <v>953</v>
      </c>
      <c r="B223" t="s">
        <v>1432</v>
      </c>
      <c r="C223" t="s">
        <v>1082</v>
      </c>
    </row>
    <row r="224" spans="1:3" x14ac:dyDescent="0.15">
      <c r="A224" t="s">
        <v>999</v>
      </c>
      <c r="B224" t="s">
        <v>1083</v>
      </c>
      <c r="C224" t="s">
        <v>1084</v>
      </c>
    </row>
    <row r="225" spans="1:3" x14ac:dyDescent="0.15">
      <c r="A225" t="s">
        <v>1000</v>
      </c>
      <c r="B225" t="s">
        <v>1085</v>
      </c>
      <c r="C225" t="s">
        <v>1086</v>
      </c>
    </row>
    <row r="226" spans="1:3" x14ac:dyDescent="0.15">
      <c r="A226" t="s">
        <v>954</v>
      </c>
      <c r="B226" t="s">
        <v>1493</v>
      </c>
      <c r="C226" t="s">
        <v>1494</v>
      </c>
    </row>
    <row r="227" spans="1:3" x14ac:dyDescent="0.15">
      <c r="A227" t="s">
        <v>955</v>
      </c>
      <c r="B227" t="s">
        <v>1495</v>
      </c>
      <c r="C227" t="s">
        <v>1496</v>
      </c>
    </row>
    <row r="228" spans="1:3" x14ac:dyDescent="0.15">
      <c r="A228" t="s">
        <v>1001</v>
      </c>
      <c r="B228" t="s">
        <v>1497</v>
      </c>
      <c r="C228" t="s">
        <v>1293</v>
      </c>
    </row>
    <row r="229" spans="1:3" x14ac:dyDescent="0.15">
      <c r="A229" t="s">
        <v>956</v>
      </c>
      <c r="B229" t="s">
        <v>1498</v>
      </c>
      <c r="C229" t="s">
        <v>1499</v>
      </c>
    </row>
    <row r="230" spans="1:3" x14ac:dyDescent="0.15">
      <c r="A230" t="s">
        <v>957</v>
      </c>
      <c r="B230" t="s">
        <v>1500</v>
      </c>
      <c r="C230" t="s">
        <v>1501</v>
      </c>
    </row>
    <row r="231" spans="1:3" x14ac:dyDescent="0.15">
      <c r="A231" t="s">
        <v>1002</v>
      </c>
      <c r="B231" t="s">
        <v>1502</v>
      </c>
      <c r="C231" t="s">
        <v>1503</v>
      </c>
    </row>
    <row r="232" spans="1:3" x14ac:dyDescent="0.15">
      <c r="A232" t="s">
        <v>1003</v>
      </c>
      <c r="B232" t="s">
        <v>1504</v>
      </c>
      <c r="C232" t="s">
        <v>1263</v>
      </c>
    </row>
    <row r="233" spans="1:3" x14ac:dyDescent="0.15">
      <c r="A233" t="s">
        <v>1610</v>
      </c>
      <c r="B233" t="s">
        <v>1312</v>
      </c>
      <c r="C233" t="s">
        <v>1313</v>
      </c>
    </row>
    <row r="234" spans="1:3" x14ac:dyDescent="0.15">
      <c r="A234" t="s">
        <v>1611</v>
      </c>
      <c r="B234" t="s">
        <v>1314</v>
      </c>
      <c r="C234" t="s">
        <v>1315</v>
      </c>
    </row>
    <row r="235" spans="1:3" x14ac:dyDescent="0.15">
      <c r="A235" t="s">
        <v>1612</v>
      </c>
      <c r="B235" t="s">
        <v>1316</v>
      </c>
      <c r="C235" t="s">
        <v>1317</v>
      </c>
    </row>
    <row r="236" spans="1:3" x14ac:dyDescent="0.15">
      <c r="A236" t="s">
        <v>1265</v>
      </c>
      <c r="B236" t="s">
        <v>1318</v>
      </c>
      <c r="C236" t="s">
        <v>1319</v>
      </c>
    </row>
    <row r="237" spans="1:3" x14ac:dyDescent="0.15">
      <c r="A237" t="s">
        <v>1613</v>
      </c>
      <c r="B237" t="s">
        <v>1815</v>
      </c>
      <c r="C237" t="s">
        <v>1816</v>
      </c>
    </row>
    <row r="238" spans="1:3" x14ac:dyDescent="0.15">
      <c r="A238" t="s">
        <v>1614</v>
      </c>
      <c r="B238" t="s">
        <v>1817</v>
      </c>
      <c r="C238" t="s">
        <v>1818</v>
      </c>
    </row>
    <row r="239" spans="1:3" x14ac:dyDescent="0.15">
      <c r="A239" t="s">
        <v>1266</v>
      </c>
      <c r="B239" t="s">
        <v>1819</v>
      </c>
      <c r="C239" t="s">
        <v>1820</v>
      </c>
    </row>
    <row r="240" spans="1:3" x14ac:dyDescent="0.15">
      <c r="A240" t="s">
        <v>1267</v>
      </c>
      <c r="B240" t="s">
        <v>1821</v>
      </c>
      <c r="C240" t="s">
        <v>1822</v>
      </c>
    </row>
    <row r="241" spans="1:3" x14ac:dyDescent="0.15">
      <c r="A241" t="s">
        <v>1615</v>
      </c>
      <c r="B241" t="s">
        <v>1823</v>
      </c>
      <c r="C241" t="s">
        <v>1824</v>
      </c>
    </row>
    <row r="242" spans="1:3" x14ac:dyDescent="0.15">
      <c r="A242" t="s">
        <v>1268</v>
      </c>
      <c r="B242" t="s">
        <v>1825</v>
      </c>
      <c r="C242" t="s">
        <v>1826</v>
      </c>
    </row>
    <row r="243" spans="1:3" x14ac:dyDescent="0.15">
      <c r="A243" t="s">
        <v>1269</v>
      </c>
      <c r="B243" t="s">
        <v>1827</v>
      </c>
      <c r="C243" t="s">
        <v>1811</v>
      </c>
    </row>
    <row r="244" spans="1:3" x14ac:dyDescent="0.15">
      <c r="A244" t="s">
        <v>1270</v>
      </c>
      <c r="B244" t="s">
        <v>1812</v>
      </c>
      <c r="C244" t="s">
        <v>1813</v>
      </c>
    </row>
    <row r="245" spans="1:3" x14ac:dyDescent="0.15">
      <c r="A245" t="s">
        <v>1271</v>
      </c>
      <c r="B245" t="s">
        <v>1814</v>
      </c>
      <c r="C245" t="s">
        <v>1999</v>
      </c>
    </row>
    <row r="246" spans="1:3" x14ac:dyDescent="0.15">
      <c r="A246" t="s">
        <v>1272</v>
      </c>
      <c r="B246" t="s">
        <v>2000</v>
      </c>
      <c r="C246" t="s">
        <v>2001</v>
      </c>
    </row>
    <row r="247" spans="1:3" x14ac:dyDescent="0.15">
      <c r="A247" t="s">
        <v>1273</v>
      </c>
      <c r="B247" t="s">
        <v>2002</v>
      </c>
      <c r="C247" t="s">
        <v>2003</v>
      </c>
    </row>
    <row r="248" spans="1:3" x14ac:dyDescent="0.15">
      <c r="A248" t="s">
        <v>1399</v>
      </c>
      <c r="B248" t="s">
        <v>2004</v>
      </c>
      <c r="C248" t="s">
        <v>2005</v>
      </c>
    </row>
    <row r="249" spans="1:3" x14ac:dyDescent="0.15">
      <c r="A249" t="s">
        <v>1616</v>
      </c>
      <c r="B249" t="s">
        <v>2006</v>
      </c>
      <c r="C249" t="s">
        <v>2007</v>
      </c>
    </row>
    <row r="250" spans="1:3" x14ac:dyDescent="0.15">
      <c r="A250" t="s">
        <v>1400</v>
      </c>
      <c r="B250" t="s">
        <v>2008</v>
      </c>
      <c r="C250" t="s">
        <v>2009</v>
      </c>
    </row>
    <row r="251" spans="1:3" x14ac:dyDescent="0.15">
      <c r="A251" t="s">
        <v>1617</v>
      </c>
      <c r="B251" t="s">
        <v>2010</v>
      </c>
      <c r="C251" t="s">
        <v>2011</v>
      </c>
    </row>
    <row r="252" spans="1:3" x14ac:dyDescent="0.15">
      <c r="A252" t="s">
        <v>1401</v>
      </c>
      <c r="B252" t="s">
        <v>2012</v>
      </c>
      <c r="C252" t="s">
        <v>2013</v>
      </c>
    </row>
    <row r="253" spans="1:3" x14ac:dyDescent="0.15">
      <c r="A253" t="s">
        <v>1402</v>
      </c>
      <c r="B253" t="s">
        <v>2014</v>
      </c>
      <c r="C253" t="s">
        <v>2015</v>
      </c>
    </row>
    <row r="254" spans="1:3" x14ac:dyDescent="0.15">
      <c r="A254" t="s">
        <v>1618</v>
      </c>
      <c r="B254" t="s">
        <v>2016</v>
      </c>
      <c r="C254" t="s">
        <v>2017</v>
      </c>
    </row>
    <row r="255" spans="1:3" x14ac:dyDescent="0.15">
      <c r="A255" t="s">
        <v>1619</v>
      </c>
      <c r="B255" t="s">
        <v>2018</v>
      </c>
      <c r="C255" t="s">
        <v>2019</v>
      </c>
    </row>
    <row r="256" spans="1:3" x14ac:dyDescent="0.15">
      <c r="A256" t="s">
        <v>1620</v>
      </c>
      <c r="B256" t="s">
        <v>1863</v>
      </c>
      <c r="C256" t="s">
        <v>1864</v>
      </c>
    </row>
    <row r="257" spans="1:3" x14ac:dyDescent="0.15">
      <c r="A257" t="s">
        <v>1621</v>
      </c>
      <c r="B257" t="s">
        <v>1865</v>
      </c>
      <c r="C257" t="s">
        <v>1866</v>
      </c>
    </row>
    <row r="258" spans="1:3" x14ac:dyDescent="0.15">
      <c r="A258" t="s">
        <v>1622</v>
      </c>
      <c r="B258" t="s">
        <v>1867</v>
      </c>
      <c r="C258" t="s">
        <v>1868</v>
      </c>
    </row>
    <row r="259" spans="1:3" x14ac:dyDescent="0.15">
      <c r="A259" t="s">
        <v>1623</v>
      </c>
      <c r="B259" t="s">
        <v>1869</v>
      </c>
      <c r="C259" t="s">
        <v>1870</v>
      </c>
    </row>
    <row r="260" spans="1:3" x14ac:dyDescent="0.15">
      <c r="A260" t="s">
        <v>1624</v>
      </c>
      <c r="B260" t="s">
        <v>1871</v>
      </c>
      <c r="C260" t="s">
        <v>1872</v>
      </c>
    </row>
    <row r="261" spans="1:3" x14ac:dyDescent="0.15">
      <c r="A261" t="s">
        <v>1625</v>
      </c>
      <c r="B261" t="s">
        <v>1873</v>
      </c>
      <c r="C261" t="s">
        <v>1874</v>
      </c>
    </row>
    <row r="262" spans="1:3" x14ac:dyDescent="0.15">
      <c r="A262" t="s">
        <v>1403</v>
      </c>
      <c r="B262" t="s">
        <v>1673</v>
      </c>
      <c r="C262" t="s">
        <v>1674</v>
      </c>
    </row>
    <row r="263" spans="1:3" x14ac:dyDescent="0.15">
      <c r="A263" t="s">
        <v>1626</v>
      </c>
      <c r="B263" t="s">
        <v>1675</v>
      </c>
      <c r="C263" t="s">
        <v>1676</v>
      </c>
    </row>
    <row r="264" spans="1:3" x14ac:dyDescent="0.15">
      <c r="A264" t="s">
        <v>1627</v>
      </c>
      <c r="B264" t="s">
        <v>1677</v>
      </c>
      <c r="C264" t="s">
        <v>1678</v>
      </c>
    </row>
    <row r="265" spans="1:3" x14ac:dyDescent="0.15">
      <c r="A265" t="s">
        <v>1628</v>
      </c>
      <c r="B265" t="s">
        <v>1679</v>
      </c>
      <c r="C265" t="s">
        <v>1680</v>
      </c>
    </row>
    <row r="266" spans="1:3" x14ac:dyDescent="0.15">
      <c r="A266" t="s">
        <v>1629</v>
      </c>
      <c r="B266" t="s">
        <v>1681</v>
      </c>
      <c r="C266" t="s">
        <v>1682</v>
      </c>
    </row>
    <row r="267" spans="1:3" x14ac:dyDescent="0.15">
      <c r="A267" t="s">
        <v>1630</v>
      </c>
      <c r="B267" t="s">
        <v>1683</v>
      </c>
      <c r="C267" t="s">
        <v>1684</v>
      </c>
    </row>
    <row r="268" spans="1:3" x14ac:dyDescent="0.15">
      <c r="A268" t="s">
        <v>1631</v>
      </c>
      <c r="B268" t="s">
        <v>1685</v>
      </c>
      <c r="C268" t="s">
        <v>1686</v>
      </c>
    </row>
    <row r="269" spans="1:3" x14ac:dyDescent="0.15">
      <c r="A269" t="s">
        <v>1404</v>
      </c>
      <c r="B269" t="s">
        <v>1687</v>
      </c>
      <c r="C269" t="s">
        <v>1688</v>
      </c>
    </row>
    <row r="270" spans="1:3" x14ac:dyDescent="0.15">
      <c r="A270" t="s">
        <v>1405</v>
      </c>
      <c r="B270" t="s">
        <v>1689</v>
      </c>
      <c r="C270" t="s">
        <v>1690</v>
      </c>
    </row>
    <row r="271" spans="1:3" x14ac:dyDescent="0.15">
      <c r="A271" t="s">
        <v>1632</v>
      </c>
      <c r="B271" t="s">
        <v>1691</v>
      </c>
      <c r="C271" t="s">
        <v>1692</v>
      </c>
    </row>
    <row r="272" spans="1:3" x14ac:dyDescent="0.15">
      <c r="A272" t="s">
        <v>1633</v>
      </c>
      <c r="B272" t="s">
        <v>1693</v>
      </c>
      <c r="C272" t="s">
        <v>1694</v>
      </c>
    </row>
    <row r="273" spans="1:3" x14ac:dyDescent="0.15">
      <c r="A273" t="s">
        <v>1634</v>
      </c>
      <c r="B273" t="s">
        <v>1695</v>
      </c>
      <c r="C273" t="s">
        <v>1696</v>
      </c>
    </row>
    <row r="274" spans="1:3" x14ac:dyDescent="0.15">
      <c r="A274" t="s">
        <v>1635</v>
      </c>
      <c r="B274" t="s">
        <v>1697</v>
      </c>
      <c r="C274" t="s">
        <v>1698</v>
      </c>
    </row>
    <row r="275" spans="1:3" x14ac:dyDescent="0.15">
      <c r="A275" t="s">
        <v>1636</v>
      </c>
      <c r="B275" t="s">
        <v>1699</v>
      </c>
      <c r="C275" t="s">
        <v>1700</v>
      </c>
    </row>
    <row r="276" spans="1:3" x14ac:dyDescent="0.15">
      <c r="A276" t="s">
        <v>1637</v>
      </c>
      <c r="B276" t="s">
        <v>1701</v>
      </c>
      <c r="C276" t="s">
        <v>1702</v>
      </c>
    </row>
    <row r="277" spans="1:3" x14ac:dyDescent="0.15">
      <c r="A277" t="s">
        <v>1638</v>
      </c>
      <c r="B277" t="s">
        <v>1703</v>
      </c>
      <c r="C277" t="s">
        <v>1704</v>
      </c>
    </row>
    <row r="278" spans="1:3" x14ac:dyDescent="0.15">
      <c r="A278" t="s">
        <v>1376</v>
      </c>
      <c r="B278" t="s">
        <v>1705</v>
      </c>
      <c r="C278" t="s">
        <v>1706</v>
      </c>
    </row>
    <row r="279" spans="1:3" x14ac:dyDescent="0.15">
      <c r="A279" t="s">
        <v>1855</v>
      </c>
      <c r="B279" t="s">
        <v>1707</v>
      </c>
      <c r="C279" t="s">
        <v>1708</v>
      </c>
    </row>
    <row r="280" spans="1:3" x14ac:dyDescent="0.15">
      <c r="A280" t="s">
        <v>1377</v>
      </c>
      <c r="B280" t="s">
        <v>1709</v>
      </c>
      <c r="C280" t="s">
        <v>1710</v>
      </c>
    </row>
    <row r="281" spans="1:3" x14ac:dyDescent="0.15">
      <c r="A281" t="s">
        <v>1856</v>
      </c>
      <c r="B281" t="s">
        <v>1711</v>
      </c>
      <c r="C281" t="s">
        <v>1712</v>
      </c>
    </row>
    <row r="282" spans="1:3" x14ac:dyDescent="0.15">
      <c r="A282" t="s">
        <v>1378</v>
      </c>
      <c r="B282" t="s">
        <v>1898</v>
      </c>
      <c r="C282" t="s">
        <v>1899</v>
      </c>
    </row>
    <row r="283" spans="1:3" x14ac:dyDescent="0.15">
      <c r="A283" t="s">
        <v>1379</v>
      </c>
      <c r="B283" t="s">
        <v>1900</v>
      </c>
      <c r="C283" t="s">
        <v>1901</v>
      </c>
    </row>
    <row r="284" spans="1:3" x14ac:dyDescent="0.15">
      <c r="A284" t="s">
        <v>1857</v>
      </c>
      <c r="B284" t="s">
        <v>1885</v>
      </c>
      <c r="C284" t="s">
        <v>1886</v>
      </c>
    </row>
    <row r="285" spans="1:3" x14ac:dyDescent="0.15">
      <c r="A285" t="s">
        <v>1858</v>
      </c>
      <c r="B285" t="s">
        <v>1887</v>
      </c>
      <c r="C285" t="s">
        <v>1888</v>
      </c>
    </row>
    <row r="286" spans="1:3" x14ac:dyDescent="0.15">
      <c r="A286" t="s">
        <v>1380</v>
      </c>
      <c r="B286" t="s">
        <v>1889</v>
      </c>
      <c r="C286" t="s">
        <v>1890</v>
      </c>
    </row>
    <row r="287" spans="1:3" x14ac:dyDescent="0.15">
      <c r="A287" t="s">
        <v>1859</v>
      </c>
      <c r="B287" t="s">
        <v>1891</v>
      </c>
      <c r="C287" t="s">
        <v>1892</v>
      </c>
    </row>
    <row r="288" spans="1:3" x14ac:dyDescent="0.15">
      <c r="A288" t="s">
        <v>1381</v>
      </c>
      <c r="B288" t="s">
        <v>1893</v>
      </c>
      <c r="C288" t="s">
        <v>1684</v>
      </c>
    </row>
    <row r="289" spans="1:3" x14ac:dyDescent="0.15">
      <c r="A289" t="s">
        <v>1382</v>
      </c>
      <c r="B289" t="s">
        <v>1894</v>
      </c>
      <c r="C289" t="s">
        <v>1895</v>
      </c>
    </row>
    <row r="290" spans="1:3" x14ac:dyDescent="0.15">
      <c r="A290" t="s">
        <v>1383</v>
      </c>
      <c r="B290" t="s">
        <v>1896</v>
      </c>
      <c r="C290" t="s">
        <v>1897</v>
      </c>
    </row>
    <row r="291" spans="1:3" x14ac:dyDescent="0.15">
      <c r="A291" t="s">
        <v>1384</v>
      </c>
      <c r="B291" t="s">
        <v>2078</v>
      </c>
      <c r="C291" t="s">
        <v>2079</v>
      </c>
    </row>
    <row r="292" spans="1:3" x14ac:dyDescent="0.15">
      <c r="A292" t="s">
        <v>1385</v>
      </c>
      <c r="B292" t="s">
        <v>2080</v>
      </c>
      <c r="C292" t="s">
        <v>2081</v>
      </c>
    </row>
    <row r="293" spans="1:3" x14ac:dyDescent="0.15">
      <c r="A293" t="s">
        <v>1386</v>
      </c>
      <c r="B293" t="s">
        <v>2082</v>
      </c>
      <c r="C293" t="s">
        <v>2083</v>
      </c>
    </row>
    <row r="294" spans="1:3" x14ac:dyDescent="0.15">
      <c r="A294" t="s">
        <v>1860</v>
      </c>
      <c r="B294" t="s">
        <v>2084</v>
      </c>
      <c r="C294" t="s">
        <v>2085</v>
      </c>
    </row>
    <row r="295" spans="1:3" x14ac:dyDescent="0.15">
      <c r="A295" t="s">
        <v>1387</v>
      </c>
      <c r="B295" t="s">
        <v>2086</v>
      </c>
      <c r="C295" t="s">
        <v>1866</v>
      </c>
    </row>
    <row r="296" spans="1:3" x14ac:dyDescent="0.15">
      <c r="A296" t="s">
        <v>1388</v>
      </c>
      <c r="B296" t="s">
        <v>2087</v>
      </c>
      <c r="C296" t="s">
        <v>2088</v>
      </c>
    </row>
    <row r="297" spans="1:3" x14ac:dyDescent="0.15">
      <c r="A297" t="s">
        <v>1389</v>
      </c>
      <c r="B297" t="s">
        <v>2089</v>
      </c>
      <c r="C297" t="s">
        <v>2090</v>
      </c>
    </row>
    <row r="298" spans="1:3" x14ac:dyDescent="0.15">
      <c r="A298" t="s">
        <v>1390</v>
      </c>
      <c r="B298" t="s">
        <v>1734</v>
      </c>
      <c r="C298" t="s">
        <v>1735</v>
      </c>
    </row>
    <row r="299" spans="1:3" x14ac:dyDescent="0.15">
      <c r="A299" t="s">
        <v>1391</v>
      </c>
      <c r="B299" t="s">
        <v>1736</v>
      </c>
      <c r="C299" t="s">
        <v>1737</v>
      </c>
    </row>
    <row r="300" spans="1:3" x14ac:dyDescent="0.15">
      <c r="A300" t="s">
        <v>1392</v>
      </c>
      <c r="B300" t="s">
        <v>1738</v>
      </c>
      <c r="C300" t="s">
        <v>1739</v>
      </c>
    </row>
    <row r="301" spans="1:3" x14ac:dyDescent="0.15">
      <c r="A301" t="s">
        <v>1861</v>
      </c>
      <c r="B301" t="s">
        <v>1740</v>
      </c>
      <c r="C301" t="s">
        <v>1741</v>
      </c>
    </row>
    <row r="302" spans="1:3" x14ac:dyDescent="0.15">
      <c r="A302" t="s">
        <v>1393</v>
      </c>
      <c r="B302" t="s">
        <v>1742</v>
      </c>
      <c r="C302" t="s">
        <v>1743</v>
      </c>
    </row>
    <row r="303" spans="1:3" x14ac:dyDescent="0.15">
      <c r="A303" t="s">
        <v>1394</v>
      </c>
      <c r="B303" t="s">
        <v>1744</v>
      </c>
      <c r="C303" t="s">
        <v>1745</v>
      </c>
    </row>
    <row r="304" spans="1:3" x14ac:dyDescent="0.15">
      <c r="A304" t="s">
        <v>1862</v>
      </c>
      <c r="B304" t="s">
        <v>1746</v>
      </c>
      <c r="C304" t="s">
        <v>1747</v>
      </c>
    </row>
    <row r="305" spans="1:3" x14ac:dyDescent="0.15">
      <c r="A305" t="s">
        <v>1395</v>
      </c>
      <c r="B305" t="s">
        <v>1967</v>
      </c>
      <c r="C305" t="s">
        <v>1968</v>
      </c>
    </row>
    <row r="306" spans="1:3" x14ac:dyDescent="0.15">
      <c r="A306" t="s">
        <v>1396</v>
      </c>
      <c r="B306" t="s">
        <v>1969</v>
      </c>
      <c r="C306" t="s">
        <v>1970</v>
      </c>
    </row>
    <row r="307" spans="1:3" x14ac:dyDescent="0.15">
      <c r="A307" t="s">
        <v>1397</v>
      </c>
      <c r="B307" t="s">
        <v>1971</v>
      </c>
      <c r="C307" t="s">
        <v>1972</v>
      </c>
    </row>
    <row r="308" spans="1:3" x14ac:dyDescent="0.15">
      <c r="A308" t="s">
        <v>1398</v>
      </c>
      <c r="B308" t="s">
        <v>1973</v>
      </c>
      <c r="C308" t="s">
        <v>1974</v>
      </c>
    </row>
    <row r="309" spans="1:3" x14ac:dyDescent="0.15">
      <c r="A309" t="s">
        <v>1647</v>
      </c>
      <c r="B309" t="s">
        <v>1975</v>
      </c>
      <c r="C309" t="s">
        <v>1976</v>
      </c>
    </row>
    <row r="310" spans="1:3" x14ac:dyDescent="0.15">
      <c r="A310" t="s">
        <v>1433</v>
      </c>
      <c r="B310" t="s">
        <v>1977</v>
      </c>
      <c r="C310" t="s">
        <v>1978</v>
      </c>
    </row>
    <row r="311" spans="1:3" x14ac:dyDescent="0.15">
      <c r="A311" t="s">
        <v>1648</v>
      </c>
      <c r="B311" t="s">
        <v>1979</v>
      </c>
      <c r="C311" t="s">
        <v>1980</v>
      </c>
    </row>
    <row r="312" spans="1:3" x14ac:dyDescent="0.15">
      <c r="A312" t="s">
        <v>1649</v>
      </c>
      <c r="B312" t="s">
        <v>1981</v>
      </c>
      <c r="C312" t="s">
        <v>1982</v>
      </c>
    </row>
    <row r="313" spans="1:3" x14ac:dyDescent="0.15">
      <c r="A313" t="s">
        <v>1650</v>
      </c>
      <c r="B313" t="s">
        <v>1983</v>
      </c>
      <c r="C313" t="s">
        <v>1782</v>
      </c>
    </row>
    <row r="314" spans="1:3" x14ac:dyDescent="0.15">
      <c r="A314" t="s">
        <v>1651</v>
      </c>
      <c r="B314" t="s">
        <v>1783</v>
      </c>
      <c r="C314" t="s">
        <v>1784</v>
      </c>
    </row>
    <row r="315" spans="1:3" x14ac:dyDescent="0.15">
      <c r="A315" t="s">
        <v>1434</v>
      </c>
      <c r="B315" t="s">
        <v>1785</v>
      </c>
      <c r="C315" t="s">
        <v>1786</v>
      </c>
    </row>
    <row r="316" spans="1:3" x14ac:dyDescent="0.15">
      <c r="A316" t="s">
        <v>1652</v>
      </c>
      <c r="B316" t="s">
        <v>1787</v>
      </c>
      <c r="C316" t="s">
        <v>1788</v>
      </c>
    </row>
    <row r="317" spans="1:3" x14ac:dyDescent="0.15">
      <c r="A317" t="s">
        <v>1653</v>
      </c>
      <c r="B317" t="s">
        <v>1789</v>
      </c>
      <c r="C317" t="s">
        <v>1790</v>
      </c>
    </row>
    <row r="318" spans="1:3" x14ac:dyDescent="0.15">
      <c r="A318" t="s">
        <v>1654</v>
      </c>
      <c r="B318" t="s">
        <v>1791</v>
      </c>
      <c r="C318" t="s">
        <v>1792</v>
      </c>
    </row>
    <row r="319" spans="1:3" x14ac:dyDescent="0.15">
      <c r="A319" t="s">
        <v>1435</v>
      </c>
      <c r="B319" t="s">
        <v>1793</v>
      </c>
      <c r="C319" t="s">
        <v>1794</v>
      </c>
    </row>
    <row r="320" spans="1:3" x14ac:dyDescent="0.15">
      <c r="A320" t="s">
        <v>1655</v>
      </c>
      <c r="B320" t="s">
        <v>1795</v>
      </c>
      <c r="C320" t="s">
        <v>1692</v>
      </c>
    </row>
    <row r="321" spans="1:3" x14ac:dyDescent="0.15">
      <c r="A321" t="s">
        <v>1656</v>
      </c>
      <c r="B321" t="s">
        <v>1796</v>
      </c>
      <c r="C321" t="s">
        <v>1797</v>
      </c>
    </row>
    <row r="322" spans="1:3" x14ac:dyDescent="0.15">
      <c r="A322" t="s">
        <v>1657</v>
      </c>
      <c r="B322" t="s">
        <v>1798</v>
      </c>
      <c r="C322" t="s">
        <v>1799</v>
      </c>
    </row>
    <row r="323" spans="1:3" x14ac:dyDescent="0.15">
      <c r="A323" t="s">
        <v>1658</v>
      </c>
      <c r="B323" t="s">
        <v>1800</v>
      </c>
      <c r="C323" t="s">
        <v>1801</v>
      </c>
    </row>
    <row r="324" spans="1:3" x14ac:dyDescent="0.15">
      <c r="A324" t="s">
        <v>1659</v>
      </c>
      <c r="B324" t="s">
        <v>1802</v>
      </c>
      <c r="C324" t="s">
        <v>1803</v>
      </c>
    </row>
    <row r="325" spans="1:3" x14ac:dyDescent="0.15">
      <c r="A325" t="s">
        <v>1660</v>
      </c>
      <c r="B325" t="s">
        <v>1804</v>
      </c>
      <c r="C325" t="s">
        <v>1866</v>
      </c>
    </row>
    <row r="326" spans="1:3" x14ac:dyDescent="0.15">
      <c r="A326" t="s">
        <v>1661</v>
      </c>
      <c r="B326" t="s">
        <v>1805</v>
      </c>
      <c r="C326" t="s">
        <v>1806</v>
      </c>
    </row>
    <row r="327" spans="1:3" x14ac:dyDescent="0.15">
      <c r="A327" t="s">
        <v>1662</v>
      </c>
      <c r="B327" t="s">
        <v>1807</v>
      </c>
      <c r="C327" t="s">
        <v>1808</v>
      </c>
    </row>
    <row r="328" spans="1:3" x14ac:dyDescent="0.15">
      <c r="A328" t="s">
        <v>1663</v>
      </c>
      <c r="B328" t="s">
        <v>1809</v>
      </c>
      <c r="C328" t="s">
        <v>1810</v>
      </c>
    </row>
    <row r="329" spans="1:3" x14ac:dyDescent="0.15">
      <c r="A329" t="s">
        <v>1664</v>
      </c>
      <c r="B329" t="s">
        <v>2149</v>
      </c>
      <c r="C329" t="s">
        <v>2150</v>
      </c>
    </row>
    <row r="330" spans="1:3" x14ac:dyDescent="0.15">
      <c r="A330" t="s">
        <v>1436</v>
      </c>
      <c r="B330" t="s">
        <v>2151</v>
      </c>
      <c r="C330" t="s">
        <v>2152</v>
      </c>
    </row>
    <row r="331" spans="1:3" x14ac:dyDescent="0.15">
      <c r="A331" t="s">
        <v>1665</v>
      </c>
      <c r="B331" t="s">
        <v>2153</v>
      </c>
      <c r="C331" t="s">
        <v>1984</v>
      </c>
    </row>
    <row r="332" spans="1:3" x14ac:dyDescent="0.15">
      <c r="A332" t="s">
        <v>1666</v>
      </c>
      <c r="B332" t="s">
        <v>1985</v>
      </c>
      <c r="C332" t="s">
        <v>1986</v>
      </c>
    </row>
    <row r="333" spans="1:3" x14ac:dyDescent="0.15">
      <c r="A333" t="s">
        <v>1667</v>
      </c>
      <c r="B333" t="s">
        <v>1987</v>
      </c>
      <c r="C333" t="s">
        <v>1988</v>
      </c>
    </row>
    <row r="334" spans="1:3" x14ac:dyDescent="0.15">
      <c r="A334" t="s">
        <v>1668</v>
      </c>
      <c r="B334" t="s">
        <v>1989</v>
      </c>
      <c r="C334" t="s">
        <v>1990</v>
      </c>
    </row>
    <row r="335" spans="1:3" x14ac:dyDescent="0.15">
      <c r="A335" t="s">
        <v>1669</v>
      </c>
      <c r="B335" t="s">
        <v>1991</v>
      </c>
      <c r="C335" t="s">
        <v>1992</v>
      </c>
    </row>
    <row r="336" spans="1:3" x14ac:dyDescent="0.15">
      <c r="A336" t="s">
        <v>1670</v>
      </c>
      <c r="B336" t="s">
        <v>1993</v>
      </c>
      <c r="C336" t="s">
        <v>1994</v>
      </c>
    </row>
    <row r="337" spans="1:3" x14ac:dyDescent="0.15">
      <c r="A337" t="s">
        <v>1671</v>
      </c>
      <c r="B337" t="s">
        <v>1995</v>
      </c>
      <c r="C337" t="s">
        <v>1996</v>
      </c>
    </row>
    <row r="338" spans="1:3" x14ac:dyDescent="0.15">
      <c r="A338" t="s">
        <v>1672</v>
      </c>
      <c r="B338" t="s">
        <v>1997</v>
      </c>
      <c r="C338" t="s">
        <v>1998</v>
      </c>
    </row>
    <row r="339" spans="1:3" x14ac:dyDescent="0.15">
      <c r="A339" t="s">
        <v>1437</v>
      </c>
      <c r="B339" t="s">
        <v>2320</v>
      </c>
      <c r="C339" t="s">
        <v>2154</v>
      </c>
    </row>
    <row r="340" spans="1:3" x14ac:dyDescent="0.15">
      <c r="A340" t="s">
        <v>1374</v>
      </c>
      <c r="B340" t="s">
        <v>2155</v>
      </c>
      <c r="C340" t="s">
        <v>2156</v>
      </c>
    </row>
    <row r="341" spans="1:3" x14ac:dyDescent="0.15">
      <c r="A341" t="s">
        <v>1375</v>
      </c>
      <c r="B341" t="s">
        <v>2157</v>
      </c>
      <c r="C341" t="s">
        <v>2020</v>
      </c>
    </row>
    <row r="342" spans="1:3" x14ac:dyDescent="0.15">
      <c r="A342" t="s">
        <v>1438</v>
      </c>
      <c r="B342" t="s">
        <v>2021</v>
      </c>
      <c r="C342" t="s">
        <v>2022</v>
      </c>
    </row>
    <row r="343" spans="1:3" x14ac:dyDescent="0.15">
      <c r="A343" t="s">
        <v>1323</v>
      </c>
      <c r="B343" t="s">
        <v>2023</v>
      </c>
      <c r="C343" t="s">
        <v>2024</v>
      </c>
    </row>
    <row r="344" spans="1:3" x14ac:dyDescent="0.15">
      <c r="A344" t="s">
        <v>1324</v>
      </c>
      <c r="B344" t="s">
        <v>2025</v>
      </c>
      <c r="C344" t="s">
        <v>2026</v>
      </c>
    </row>
    <row r="345" spans="1:3" x14ac:dyDescent="0.15">
      <c r="A345" t="s">
        <v>1439</v>
      </c>
      <c r="B345" t="s">
        <v>2027</v>
      </c>
      <c r="C345" t="s">
        <v>2028</v>
      </c>
    </row>
    <row r="346" spans="1:3" x14ac:dyDescent="0.15">
      <c r="A346" t="s">
        <v>1325</v>
      </c>
      <c r="B346" t="s">
        <v>2029</v>
      </c>
      <c r="C346" t="s">
        <v>2030</v>
      </c>
    </row>
    <row r="347" spans="1:3" x14ac:dyDescent="0.15">
      <c r="A347" t="s">
        <v>1326</v>
      </c>
      <c r="B347" t="s">
        <v>2031</v>
      </c>
      <c r="C347" t="s">
        <v>2032</v>
      </c>
    </row>
    <row r="348" spans="1:3" x14ac:dyDescent="0.15">
      <c r="A348" t="s">
        <v>1327</v>
      </c>
      <c r="B348" t="s">
        <v>2033</v>
      </c>
      <c r="C348" t="s">
        <v>2034</v>
      </c>
    </row>
    <row r="349" spans="1:3" x14ac:dyDescent="0.15">
      <c r="A349" t="s">
        <v>1440</v>
      </c>
      <c r="B349" t="s">
        <v>1836</v>
      </c>
      <c r="C349" t="s">
        <v>1837</v>
      </c>
    </row>
    <row r="350" spans="1:3" x14ac:dyDescent="0.15">
      <c r="A350" t="s">
        <v>1328</v>
      </c>
      <c r="B350" t="s">
        <v>1838</v>
      </c>
      <c r="C350" t="s">
        <v>2034</v>
      </c>
    </row>
    <row r="351" spans="1:3" x14ac:dyDescent="0.15">
      <c r="A351" t="s">
        <v>1329</v>
      </c>
      <c r="B351" t="s">
        <v>1839</v>
      </c>
      <c r="C351" t="s">
        <v>1840</v>
      </c>
    </row>
    <row r="352" spans="1:3" x14ac:dyDescent="0.15">
      <c r="A352" t="s">
        <v>1330</v>
      </c>
      <c r="B352" t="s">
        <v>1841</v>
      </c>
      <c r="C352" t="s">
        <v>1842</v>
      </c>
    </row>
    <row r="353" spans="1:3" x14ac:dyDescent="0.15">
      <c r="A353" t="s">
        <v>1331</v>
      </c>
      <c r="B353" t="s">
        <v>1843</v>
      </c>
      <c r="C353" t="s">
        <v>1844</v>
      </c>
    </row>
    <row r="354" spans="1:3" x14ac:dyDescent="0.15">
      <c r="A354" t="s">
        <v>1332</v>
      </c>
      <c r="B354" t="s">
        <v>1845</v>
      </c>
      <c r="C354" t="s">
        <v>1846</v>
      </c>
    </row>
    <row r="355" spans="1:3" x14ac:dyDescent="0.15">
      <c r="A355" t="s">
        <v>1333</v>
      </c>
      <c r="B355" t="s">
        <v>1847</v>
      </c>
      <c r="C355" t="s">
        <v>1848</v>
      </c>
    </row>
    <row r="356" spans="1:3" x14ac:dyDescent="0.15">
      <c r="A356" t="s">
        <v>1441</v>
      </c>
      <c r="B356" t="s">
        <v>1849</v>
      </c>
      <c r="C356" t="s">
        <v>1850</v>
      </c>
    </row>
    <row r="357" spans="1:3" x14ac:dyDescent="0.15">
      <c r="A357" t="s">
        <v>1334</v>
      </c>
      <c r="B357" t="s">
        <v>1851</v>
      </c>
      <c r="C357" t="s">
        <v>1852</v>
      </c>
    </row>
    <row r="358" spans="1:3" x14ac:dyDescent="0.15">
      <c r="A358" t="s">
        <v>1335</v>
      </c>
      <c r="B358" t="s">
        <v>1853</v>
      </c>
      <c r="C358" t="s">
        <v>1854</v>
      </c>
    </row>
    <row r="359" spans="1:3" x14ac:dyDescent="0.15">
      <c r="A359" t="s">
        <v>1336</v>
      </c>
      <c r="B359" t="s">
        <v>2054</v>
      </c>
      <c r="C359" t="s">
        <v>2055</v>
      </c>
    </row>
    <row r="360" spans="1:3" x14ac:dyDescent="0.15">
      <c r="A360" t="s">
        <v>1337</v>
      </c>
      <c r="B360" t="s">
        <v>2056</v>
      </c>
      <c r="C360" t="s">
        <v>2057</v>
      </c>
    </row>
    <row r="361" spans="1:3" x14ac:dyDescent="0.15">
      <c r="A361" t="s">
        <v>1338</v>
      </c>
      <c r="B361" t="s">
        <v>2058</v>
      </c>
      <c r="C361" t="s">
        <v>2059</v>
      </c>
    </row>
    <row r="362" spans="1:3" x14ac:dyDescent="0.15">
      <c r="A362" t="s">
        <v>1339</v>
      </c>
      <c r="B362" t="s">
        <v>2060</v>
      </c>
      <c r="C362" t="s">
        <v>2061</v>
      </c>
    </row>
    <row r="363" spans="1:3" x14ac:dyDescent="0.15">
      <c r="A363" t="s">
        <v>1340</v>
      </c>
      <c r="B363" t="s">
        <v>2062</v>
      </c>
      <c r="C363" t="s">
        <v>2063</v>
      </c>
    </row>
    <row r="364" spans="1:3" x14ac:dyDescent="0.15">
      <c r="A364" t="s">
        <v>1639</v>
      </c>
      <c r="B364" t="s">
        <v>2064</v>
      </c>
      <c r="C364" t="s">
        <v>2065</v>
      </c>
    </row>
    <row r="365" spans="1:3" x14ac:dyDescent="0.15">
      <c r="A365" t="s">
        <v>1640</v>
      </c>
      <c r="B365" t="s">
        <v>2066</v>
      </c>
      <c r="C365" t="s">
        <v>2067</v>
      </c>
    </row>
    <row r="366" spans="1:3" x14ac:dyDescent="0.15">
      <c r="A366" t="s">
        <v>1641</v>
      </c>
      <c r="B366" t="s">
        <v>2068</v>
      </c>
      <c r="C366" t="s">
        <v>2069</v>
      </c>
    </row>
    <row r="367" spans="1:3" x14ac:dyDescent="0.15">
      <c r="A367" t="s">
        <v>1642</v>
      </c>
      <c r="B367" t="s">
        <v>1875</v>
      </c>
      <c r="C367" t="s">
        <v>1876</v>
      </c>
    </row>
    <row r="368" spans="1:3" x14ac:dyDescent="0.15">
      <c r="A368" t="s">
        <v>1442</v>
      </c>
      <c r="B368" t="s">
        <v>1877</v>
      </c>
      <c r="C368" t="s">
        <v>1878</v>
      </c>
    </row>
    <row r="369" spans="1:3" x14ac:dyDescent="0.15">
      <c r="A369" t="s">
        <v>1643</v>
      </c>
      <c r="B369" t="s">
        <v>1879</v>
      </c>
      <c r="C369" t="s">
        <v>1880</v>
      </c>
    </row>
    <row r="370" spans="1:3" x14ac:dyDescent="0.15">
      <c r="A370" t="s">
        <v>1644</v>
      </c>
      <c r="B370" t="s">
        <v>1881</v>
      </c>
      <c r="C370" t="s">
        <v>1882</v>
      </c>
    </row>
    <row r="371" spans="1:3" x14ac:dyDescent="0.15">
      <c r="A371" t="s">
        <v>1645</v>
      </c>
      <c r="B371" t="s">
        <v>1883</v>
      </c>
      <c r="C371" t="s">
        <v>1884</v>
      </c>
    </row>
    <row r="372" spans="1:3" x14ac:dyDescent="0.15">
      <c r="A372" t="s">
        <v>1646</v>
      </c>
      <c r="B372" t="s">
        <v>2220</v>
      </c>
      <c r="C372" t="s">
        <v>2221</v>
      </c>
    </row>
    <row r="373" spans="1:3" x14ac:dyDescent="0.15">
      <c r="A373" t="s">
        <v>1443</v>
      </c>
      <c r="B373" t="s">
        <v>2222</v>
      </c>
      <c r="C373" t="s">
        <v>2223</v>
      </c>
    </row>
    <row r="374" spans="1:3" x14ac:dyDescent="0.15">
      <c r="A374" t="s">
        <v>1350</v>
      </c>
      <c r="B374" t="s">
        <v>2224</v>
      </c>
      <c r="C374" t="s">
        <v>2225</v>
      </c>
    </row>
    <row r="375" spans="1:3" x14ac:dyDescent="0.15">
      <c r="A375" t="s">
        <v>1351</v>
      </c>
      <c r="B375" t="s">
        <v>2226</v>
      </c>
      <c r="C375" t="s">
        <v>2227</v>
      </c>
    </row>
    <row r="376" spans="1:3" x14ac:dyDescent="0.15">
      <c r="A376" t="s">
        <v>1352</v>
      </c>
      <c r="B376" t="s">
        <v>2228</v>
      </c>
      <c r="C376" t="s">
        <v>2229</v>
      </c>
    </row>
    <row r="377" spans="1:3" x14ac:dyDescent="0.15">
      <c r="A377" t="s">
        <v>1353</v>
      </c>
      <c r="B377" t="s">
        <v>2230</v>
      </c>
      <c r="C377" t="s">
        <v>2231</v>
      </c>
    </row>
    <row r="378" spans="1:3" x14ac:dyDescent="0.15">
      <c r="A378" t="s">
        <v>1444</v>
      </c>
      <c r="B378" t="s">
        <v>2232</v>
      </c>
      <c r="C378" t="s">
        <v>2233</v>
      </c>
    </row>
    <row r="379" spans="1:3" x14ac:dyDescent="0.15">
      <c r="A379" t="s">
        <v>1354</v>
      </c>
      <c r="B379" t="s">
        <v>2234</v>
      </c>
      <c r="C379" t="s">
        <v>2235</v>
      </c>
    </row>
    <row r="380" spans="1:3" x14ac:dyDescent="0.15">
      <c r="A380" t="s">
        <v>1355</v>
      </c>
      <c r="B380" t="s">
        <v>2236</v>
      </c>
      <c r="C380" t="s">
        <v>2237</v>
      </c>
    </row>
    <row r="381" spans="1:3" x14ac:dyDescent="0.15">
      <c r="A381" t="s">
        <v>1356</v>
      </c>
      <c r="B381" t="s">
        <v>2238</v>
      </c>
      <c r="C381" t="s">
        <v>2239</v>
      </c>
    </row>
    <row r="382" spans="1:3" x14ac:dyDescent="0.15">
      <c r="A382" t="s">
        <v>1207</v>
      </c>
      <c r="B382" t="s">
        <v>2070</v>
      </c>
      <c r="C382" t="s">
        <v>2071</v>
      </c>
    </row>
    <row r="383" spans="1:3" x14ac:dyDescent="0.15">
      <c r="A383" t="s">
        <v>1357</v>
      </c>
      <c r="B383" t="s">
        <v>2072</v>
      </c>
      <c r="C383" t="s">
        <v>2073</v>
      </c>
    </row>
    <row r="384" spans="1:3" x14ac:dyDescent="0.15">
      <c r="A384" t="s">
        <v>1208</v>
      </c>
      <c r="B384" t="s">
        <v>2074</v>
      </c>
      <c r="C384" t="s">
        <v>2091</v>
      </c>
    </row>
    <row r="385" spans="1:3" x14ac:dyDescent="0.15">
      <c r="A385" t="s">
        <v>1358</v>
      </c>
      <c r="B385" t="s">
        <v>2092</v>
      </c>
      <c r="C385" t="s">
        <v>2093</v>
      </c>
    </row>
    <row r="386" spans="1:3" x14ac:dyDescent="0.15">
      <c r="A386" t="s">
        <v>1359</v>
      </c>
      <c r="B386" t="s">
        <v>2094</v>
      </c>
      <c r="C386" t="s">
        <v>2095</v>
      </c>
    </row>
    <row r="387" spans="1:3" x14ac:dyDescent="0.15">
      <c r="A387" t="s">
        <v>1360</v>
      </c>
      <c r="B387" t="s">
        <v>2096</v>
      </c>
      <c r="C387" t="s">
        <v>2097</v>
      </c>
    </row>
    <row r="388" spans="1:3" x14ac:dyDescent="0.15">
      <c r="A388" t="s">
        <v>1361</v>
      </c>
      <c r="B388" t="s">
        <v>2098</v>
      </c>
      <c r="C388" t="s">
        <v>2099</v>
      </c>
    </row>
    <row r="389" spans="1:3" x14ac:dyDescent="0.15">
      <c r="A389" t="s">
        <v>1362</v>
      </c>
      <c r="B389" t="s">
        <v>2100</v>
      </c>
      <c r="C389" t="s">
        <v>2101</v>
      </c>
    </row>
    <row r="390" spans="1:3" x14ac:dyDescent="0.15">
      <c r="A390" t="s">
        <v>1363</v>
      </c>
      <c r="B390" t="s">
        <v>2102</v>
      </c>
      <c r="C390" t="s">
        <v>2103</v>
      </c>
    </row>
    <row r="391" spans="1:3" x14ac:dyDescent="0.15">
      <c r="A391" t="s">
        <v>1364</v>
      </c>
      <c r="B391" t="s">
        <v>2104</v>
      </c>
      <c r="C391" t="s">
        <v>2105</v>
      </c>
    </row>
    <row r="392" spans="1:3" x14ac:dyDescent="0.15">
      <c r="A392" t="s">
        <v>1365</v>
      </c>
      <c r="B392" t="s">
        <v>2106</v>
      </c>
      <c r="C392" t="s">
        <v>2107</v>
      </c>
    </row>
    <row r="393" spans="1:3" x14ac:dyDescent="0.15">
      <c r="A393" t="s">
        <v>1366</v>
      </c>
      <c r="B393" t="s">
        <v>2108</v>
      </c>
      <c r="C393" t="s">
        <v>2109</v>
      </c>
    </row>
    <row r="394" spans="1:3" x14ac:dyDescent="0.15">
      <c r="A394" t="s">
        <v>1209</v>
      </c>
      <c r="B394" t="s">
        <v>2110</v>
      </c>
      <c r="C394" t="s">
        <v>2111</v>
      </c>
    </row>
    <row r="395" spans="1:3" x14ac:dyDescent="0.15">
      <c r="A395" t="s">
        <v>1210</v>
      </c>
      <c r="B395" t="s">
        <v>2112</v>
      </c>
      <c r="C395" t="s">
        <v>2113</v>
      </c>
    </row>
    <row r="396" spans="1:3" x14ac:dyDescent="0.15">
      <c r="A396" t="s">
        <v>1367</v>
      </c>
      <c r="B396" t="s">
        <v>2114</v>
      </c>
      <c r="C396" t="s">
        <v>2115</v>
      </c>
    </row>
    <row r="397" spans="1:3" x14ac:dyDescent="0.15">
      <c r="A397" t="s">
        <v>1211</v>
      </c>
      <c r="B397" t="s">
        <v>1947</v>
      </c>
      <c r="C397" t="s">
        <v>1948</v>
      </c>
    </row>
    <row r="398" spans="1:3" x14ac:dyDescent="0.15">
      <c r="A398" t="s">
        <v>1368</v>
      </c>
      <c r="B398" t="s">
        <v>1949</v>
      </c>
      <c r="C398" t="s">
        <v>1950</v>
      </c>
    </row>
    <row r="399" spans="1:3" x14ac:dyDescent="0.15">
      <c r="A399" t="s">
        <v>1369</v>
      </c>
      <c r="B399" t="s">
        <v>1951</v>
      </c>
      <c r="C399" t="s">
        <v>1952</v>
      </c>
    </row>
    <row r="400" spans="1:3" x14ac:dyDescent="0.15">
      <c r="A400" t="s">
        <v>1370</v>
      </c>
      <c r="B400" t="s">
        <v>1953</v>
      </c>
      <c r="C400" t="s">
        <v>1954</v>
      </c>
    </row>
    <row r="401" spans="1:3" x14ac:dyDescent="0.15">
      <c r="A401" t="s">
        <v>1371</v>
      </c>
      <c r="B401" t="s">
        <v>1955</v>
      </c>
      <c r="C401" t="s">
        <v>1956</v>
      </c>
    </row>
    <row r="402" spans="1:3" x14ac:dyDescent="0.15">
      <c r="A402" t="s">
        <v>1320</v>
      </c>
      <c r="B402" t="s">
        <v>1957</v>
      </c>
      <c r="C402" t="s">
        <v>1958</v>
      </c>
    </row>
    <row r="403" spans="1:3" x14ac:dyDescent="0.15">
      <c r="A403" t="s">
        <v>1321</v>
      </c>
      <c r="B403" t="s">
        <v>1959</v>
      </c>
      <c r="C403" t="s">
        <v>1960</v>
      </c>
    </row>
    <row r="404" spans="1:3" x14ac:dyDescent="0.15">
      <c r="A404" t="s">
        <v>1322</v>
      </c>
      <c r="B404" t="s">
        <v>1961</v>
      </c>
      <c r="C404" t="s">
        <v>1962</v>
      </c>
    </row>
    <row r="405" spans="1:3" x14ac:dyDescent="0.15">
      <c r="A405" t="s">
        <v>1212</v>
      </c>
      <c r="B405" t="s">
        <v>1963</v>
      </c>
      <c r="C405" t="s">
        <v>1964</v>
      </c>
    </row>
    <row r="406" spans="1:3" x14ac:dyDescent="0.15">
      <c r="A406" t="s">
        <v>1515</v>
      </c>
      <c r="B406" t="s">
        <v>1965</v>
      </c>
      <c r="C406" t="s">
        <v>1966</v>
      </c>
    </row>
    <row r="407" spans="1:3" x14ac:dyDescent="0.15">
      <c r="A407" t="s">
        <v>1516</v>
      </c>
      <c r="B407" t="s">
        <v>2135</v>
      </c>
      <c r="C407" t="s">
        <v>2136</v>
      </c>
    </row>
    <row r="408" spans="1:3" x14ac:dyDescent="0.15">
      <c r="A408" t="s">
        <v>1517</v>
      </c>
      <c r="B408" t="s">
        <v>2137</v>
      </c>
      <c r="C408" t="s">
        <v>2138</v>
      </c>
    </row>
    <row r="409" spans="1:3" x14ac:dyDescent="0.15">
      <c r="A409" t="s">
        <v>1213</v>
      </c>
      <c r="B409" t="s">
        <v>2139</v>
      </c>
      <c r="C409" t="s">
        <v>2140</v>
      </c>
    </row>
    <row r="410" spans="1:3" x14ac:dyDescent="0.15">
      <c r="A410" t="s">
        <v>1214</v>
      </c>
      <c r="B410" t="s">
        <v>2141</v>
      </c>
      <c r="C410" t="s">
        <v>2142</v>
      </c>
    </row>
    <row r="411" spans="1:3" x14ac:dyDescent="0.15">
      <c r="A411" t="s">
        <v>1215</v>
      </c>
      <c r="B411" t="s">
        <v>2143</v>
      </c>
      <c r="C411" t="s">
        <v>2144</v>
      </c>
    </row>
    <row r="412" spans="1:3" x14ac:dyDescent="0.15">
      <c r="A412" t="s">
        <v>1216</v>
      </c>
      <c r="B412" t="s">
        <v>2145</v>
      </c>
      <c r="C412" t="s">
        <v>2146</v>
      </c>
    </row>
    <row r="413" spans="1:3" x14ac:dyDescent="0.15">
      <c r="A413" t="s">
        <v>1518</v>
      </c>
      <c r="B413" t="s">
        <v>2147</v>
      </c>
      <c r="C413" t="s">
        <v>2148</v>
      </c>
    </row>
    <row r="414" spans="1:3" x14ac:dyDescent="0.15">
      <c r="A414" t="s">
        <v>1519</v>
      </c>
      <c r="B414" t="s">
        <v>2121</v>
      </c>
      <c r="C414" t="s">
        <v>2122</v>
      </c>
    </row>
    <row r="415" spans="1:3" x14ac:dyDescent="0.15">
      <c r="A415" t="s">
        <v>1217</v>
      </c>
      <c r="B415" t="s">
        <v>2123</v>
      </c>
      <c r="C415" t="s">
        <v>2124</v>
      </c>
    </row>
    <row r="416" spans="1:3" x14ac:dyDescent="0.15">
      <c r="A416" t="s">
        <v>1520</v>
      </c>
      <c r="B416" t="s">
        <v>2125</v>
      </c>
      <c r="C416" t="s">
        <v>2126</v>
      </c>
    </row>
    <row r="417" spans="1:3" x14ac:dyDescent="0.15">
      <c r="A417" t="s">
        <v>1521</v>
      </c>
      <c r="B417" t="s">
        <v>2127</v>
      </c>
      <c r="C417" t="s">
        <v>2128</v>
      </c>
    </row>
    <row r="418" spans="1:3" x14ac:dyDescent="0.15">
      <c r="A418" t="s">
        <v>1218</v>
      </c>
      <c r="B418" t="s">
        <v>2129</v>
      </c>
      <c r="C418" t="s">
        <v>2130</v>
      </c>
    </row>
    <row r="419" spans="1:3" x14ac:dyDescent="0.15">
      <c r="A419" t="s">
        <v>1522</v>
      </c>
      <c r="B419" t="s">
        <v>2131</v>
      </c>
      <c r="C419" t="s">
        <v>2132</v>
      </c>
    </row>
    <row r="420" spans="1:3" x14ac:dyDescent="0.15">
      <c r="A420" t="s">
        <v>1523</v>
      </c>
      <c r="B420" t="s">
        <v>2133</v>
      </c>
      <c r="C420" t="s">
        <v>2134</v>
      </c>
    </row>
    <row r="421" spans="1:3" x14ac:dyDescent="0.15">
      <c r="A421" t="s">
        <v>1219</v>
      </c>
      <c r="B421" t="s">
        <v>2304</v>
      </c>
      <c r="C421" t="s">
        <v>2305</v>
      </c>
    </row>
    <row r="422" spans="1:3" x14ac:dyDescent="0.15">
      <c r="A422" t="s">
        <v>1220</v>
      </c>
      <c r="B422" t="s">
        <v>2306</v>
      </c>
      <c r="C422" t="s">
        <v>2307</v>
      </c>
    </row>
    <row r="423" spans="1:3" x14ac:dyDescent="0.15">
      <c r="A423" t="s">
        <v>1524</v>
      </c>
      <c r="B423" t="s">
        <v>2308</v>
      </c>
      <c r="C423" t="s">
        <v>2309</v>
      </c>
    </row>
    <row r="424" spans="1:3" x14ac:dyDescent="0.15">
      <c r="A424" t="s">
        <v>1525</v>
      </c>
      <c r="B424" t="s">
        <v>2310</v>
      </c>
      <c r="C424" t="s">
        <v>2158</v>
      </c>
    </row>
    <row r="425" spans="1:3" x14ac:dyDescent="0.15">
      <c r="A425" t="s">
        <v>1526</v>
      </c>
      <c r="B425" t="s">
        <v>2159</v>
      </c>
      <c r="C425" t="s">
        <v>2160</v>
      </c>
    </row>
    <row r="426" spans="1:3" x14ac:dyDescent="0.15">
      <c r="A426" t="s">
        <v>1527</v>
      </c>
      <c r="B426" t="s">
        <v>2161</v>
      </c>
      <c r="C426" t="s">
        <v>2162</v>
      </c>
    </row>
    <row r="427" spans="1:3" x14ac:dyDescent="0.15">
      <c r="A427" t="s">
        <v>1342</v>
      </c>
      <c r="B427" t="s">
        <v>2163</v>
      </c>
      <c r="C427" t="s">
        <v>2164</v>
      </c>
    </row>
    <row r="428" spans="1:3" x14ac:dyDescent="0.15">
      <c r="A428" t="s">
        <v>1343</v>
      </c>
      <c r="B428" t="s">
        <v>2165</v>
      </c>
      <c r="C428" t="s">
        <v>2166</v>
      </c>
    </row>
    <row r="429" spans="1:3" x14ac:dyDescent="0.15">
      <c r="A429" t="s">
        <v>1344</v>
      </c>
      <c r="B429" t="s">
        <v>2167</v>
      </c>
      <c r="C429" t="s">
        <v>2168</v>
      </c>
    </row>
    <row r="430" spans="1:3" x14ac:dyDescent="0.15">
      <c r="A430" t="s">
        <v>1345</v>
      </c>
      <c r="B430" t="s">
        <v>2169</v>
      </c>
      <c r="C430" t="s">
        <v>2170</v>
      </c>
    </row>
    <row r="431" spans="1:3" x14ac:dyDescent="0.15">
      <c r="A431" t="s">
        <v>1221</v>
      </c>
      <c r="B431" t="s">
        <v>2171</v>
      </c>
      <c r="C431" t="s">
        <v>2172</v>
      </c>
    </row>
    <row r="432" spans="1:3" x14ac:dyDescent="0.15">
      <c r="A432" t="s">
        <v>1346</v>
      </c>
      <c r="B432" t="s">
        <v>2173</v>
      </c>
      <c r="C432" t="s">
        <v>2174</v>
      </c>
    </row>
    <row r="433" spans="1:3" x14ac:dyDescent="0.15">
      <c r="A433" t="s">
        <v>1347</v>
      </c>
      <c r="B433" t="s">
        <v>2175</v>
      </c>
      <c r="C433" t="s">
        <v>2176</v>
      </c>
    </row>
    <row r="434" spans="1:3" x14ac:dyDescent="0.15">
      <c r="A434" t="s">
        <v>1348</v>
      </c>
      <c r="B434" t="s">
        <v>2177</v>
      </c>
      <c r="C434" t="s">
        <v>1684</v>
      </c>
    </row>
    <row r="435" spans="1:3" x14ac:dyDescent="0.15">
      <c r="A435" t="s">
        <v>1349</v>
      </c>
      <c r="B435" t="s">
        <v>2178</v>
      </c>
      <c r="C435" t="s">
        <v>2179</v>
      </c>
    </row>
    <row r="436" spans="1:3" x14ac:dyDescent="0.15">
      <c r="A436" t="s">
        <v>1770</v>
      </c>
      <c r="B436" t="s">
        <v>2180</v>
      </c>
      <c r="C436" t="s">
        <v>2181</v>
      </c>
    </row>
    <row r="437" spans="1:3" x14ac:dyDescent="0.15">
      <c r="A437" t="s">
        <v>1771</v>
      </c>
      <c r="B437" t="s">
        <v>2182</v>
      </c>
      <c r="C437" t="s">
        <v>2183</v>
      </c>
    </row>
    <row r="438" spans="1:3" x14ac:dyDescent="0.15">
      <c r="A438" t="s">
        <v>1772</v>
      </c>
      <c r="B438" t="s">
        <v>2184</v>
      </c>
      <c r="C438" t="s">
        <v>2185</v>
      </c>
    </row>
    <row r="439" spans="1:3" x14ac:dyDescent="0.15">
      <c r="A439" t="s">
        <v>1773</v>
      </c>
      <c r="B439" t="s">
        <v>2186</v>
      </c>
      <c r="C439" t="s">
        <v>2187</v>
      </c>
    </row>
    <row r="440" spans="1:3" x14ac:dyDescent="0.15">
      <c r="A440" t="s">
        <v>1774</v>
      </c>
      <c r="B440" t="s">
        <v>2188</v>
      </c>
      <c r="C440" t="s">
        <v>2189</v>
      </c>
    </row>
    <row r="441" spans="1:3" x14ac:dyDescent="0.15">
      <c r="A441" t="s">
        <v>1775</v>
      </c>
      <c r="B441" t="s">
        <v>2190</v>
      </c>
      <c r="C441" t="s">
        <v>2191</v>
      </c>
    </row>
    <row r="442" spans="1:3" x14ac:dyDescent="0.15">
      <c r="A442" t="s">
        <v>1776</v>
      </c>
      <c r="B442" t="s">
        <v>2192</v>
      </c>
      <c r="C442" t="s">
        <v>2193</v>
      </c>
    </row>
    <row r="443" spans="1:3" x14ac:dyDescent="0.15">
      <c r="A443" t="s">
        <v>1777</v>
      </c>
      <c r="B443" t="s">
        <v>2194</v>
      </c>
      <c r="C443" t="s">
        <v>2195</v>
      </c>
    </row>
    <row r="444" spans="1:3" x14ac:dyDescent="0.15">
      <c r="A444" t="s">
        <v>1778</v>
      </c>
      <c r="B444" t="s">
        <v>2196</v>
      </c>
      <c r="C444" t="s">
        <v>2197</v>
      </c>
    </row>
    <row r="445" spans="1:3" x14ac:dyDescent="0.15">
      <c r="A445" t="s">
        <v>1779</v>
      </c>
      <c r="B445" t="s">
        <v>2198</v>
      </c>
      <c r="C445" t="s">
        <v>2199</v>
      </c>
    </row>
    <row r="446" spans="1:3" x14ac:dyDescent="0.15">
      <c r="A446" t="s">
        <v>1222</v>
      </c>
      <c r="B446" t="s">
        <v>2035</v>
      </c>
      <c r="C446" t="s">
        <v>2036</v>
      </c>
    </row>
    <row r="447" spans="1:3" x14ac:dyDescent="0.15">
      <c r="A447" t="s">
        <v>1223</v>
      </c>
      <c r="B447" t="s">
        <v>2037</v>
      </c>
      <c r="C447" t="s">
        <v>2038</v>
      </c>
    </row>
    <row r="448" spans="1:3" x14ac:dyDescent="0.15">
      <c r="A448" t="s">
        <v>1224</v>
      </c>
      <c r="B448" t="s">
        <v>2039</v>
      </c>
      <c r="C448" t="s">
        <v>2040</v>
      </c>
    </row>
    <row r="449" spans="1:3" x14ac:dyDescent="0.15">
      <c r="A449" t="s">
        <v>1780</v>
      </c>
      <c r="B449" t="s">
        <v>2041</v>
      </c>
      <c r="C449" t="s">
        <v>1998</v>
      </c>
    </row>
    <row r="450" spans="1:3" x14ac:dyDescent="0.15">
      <c r="A450" t="s">
        <v>1781</v>
      </c>
      <c r="B450" t="s">
        <v>2042</v>
      </c>
      <c r="C450" t="s">
        <v>2043</v>
      </c>
    </row>
    <row r="451" spans="1:3" x14ac:dyDescent="0.15">
      <c r="A451" t="s">
        <v>1225</v>
      </c>
      <c r="B451" t="s">
        <v>2044</v>
      </c>
      <c r="C451" t="s">
        <v>2045</v>
      </c>
    </row>
    <row r="452" spans="1:3" x14ac:dyDescent="0.15">
      <c r="A452" t="s">
        <v>1902</v>
      </c>
      <c r="B452" t="s">
        <v>2046</v>
      </c>
      <c r="C452" t="s">
        <v>2047</v>
      </c>
    </row>
    <row r="453" spans="1:3" x14ac:dyDescent="0.15">
      <c r="A453" t="s">
        <v>1903</v>
      </c>
      <c r="B453" t="s">
        <v>2048</v>
      </c>
      <c r="C453" t="s">
        <v>2049</v>
      </c>
    </row>
    <row r="454" spans="1:3" x14ac:dyDescent="0.15">
      <c r="A454" t="s">
        <v>1505</v>
      </c>
      <c r="B454" t="s">
        <v>2050</v>
      </c>
      <c r="C454" t="s">
        <v>2051</v>
      </c>
    </row>
    <row r="455" spans="1:3" x14ac:dyDescent="0.15">
      <c r="A455" t="s">
        <v>1506</v>
      </c>
      <c r="B455" t="s">
        <v>2052</v>
      </c>
      <c r="C455" t="s">
        <v>2053</v>
      </c>
    </row>
    <row r="456" spans="1:3" x14ac:dyDescent="0.15">
      <c r="A456" t="s">
        <v>1904</v>
      </c>
      <c r="B456" t="s">
        <v>2356</v>
      </c>
      <c r="C456" t="s">
        <v>2357</v>
      </c>
    </row>
    <row r="457" spans="1:3" x14ac:dyDescent="0.15">
      <c r="A457" t="s">
        <v>1507</v>
      </c>
      <c r="B457" t="s">
        <v>2358</v>
      </c>
      <c r="C457" t="s">
        <v>2359</v>
      </c>
    </row>
    <row r="458" spans="1:3" x14ac:dyDescent="0.15">
      <c r="A458" t="s">
        <v>1508</v>
      </c>
      <c r="B458" t="s">
        <v>2360</v>
      </c>
      <c r="C458" t="s">
        <v>2361</v>
      </c>
    </row>
    <row r="459" spans="1:3" x14ac:dyDescent="0.15">
      <c r="A459" t="s">
        <v>1905</v>
      </c>
      <c r="B459" t="s">
        <v>2362</v>
      </c>
      <c r="C459" t="s">
        <v>2363</v>
      </c>
    </row>
    <row r="460" spans="1:3" x14ac:dyDescent="0.15">
      <c r="A460" t="s">
        <v>1509</v>
      </c>
      <c r="B460" t="s">
        <v>2364</v>
      </c>
      <c r="C460" t="s">
        <v>2136</v>
      </c>
    </row>
    <row r="461" spans="1:3" x14ac:dyDescent="0.15">
      <c r="A461" t="s">
        <v>1510</v>
      </c>
      <c r="B461" t="s">
        <v>2365</v>
      </c>
      <c r="C461" t="s">
        <v>2200</v>
      </c>
    </row>
    <row r="462" spans="1:3" x14ac:dyDescent="0.15">
      <c r="A462" t="s">
        <v>1511</v>
      </c>
      <c r="B462" t="s">
        <v>2201</v>
      </c>
      <c r="C462" t="s">
        <v>2202</v>
      </c>
    </row>
    <row r="463" spans="1:3" x14ac:dyDescent="0.15">
      <c r="A463" t="s">
        <v>1512</v>
      </c>
      <c r="B463" t="s">
        <v>2203</v>
      </c>
      <c r="C463" t="s">
        <v>2204</v>
      </c>
    </row>
    <row r="464" spans="1:3" x14ac:dyDescent="0.15">
      <c r="A464" t="s">
        <v>1906</v>
      </c>
      <c r="B464" t="s">
        <v>2205</v>
      </c>
      <c r="C464" t="s">
        <v>2206</v>
      </c>
    </row>
    <row r="465" spans="1:3" x14ac:dyDescent="0.15">
      <c r="A465" t="s">
        <v>1513</v>
      </c>
      <c r="B465" t="s">
        <v>2207</v>
      </c>
      <c r="C465" t="s">
        <v>2208</v>
      </c>
    </row>
    <row r="466" spans="1:3" x14ac:dyDescent="0.15">
      <c r="A466" t="s">
        <v>1907</v>
      </c>
      <c r="B466" t="s">
        <v>2209</v>
      </c>
      <c r="C466" t="s">
        <v>2210</v>
      </c>
    </row>
    <row r="467" spans="1:3" x14ac:dyDescent="0.15">
      <c r="A467" t="s">
        <v>1514</v>
      </c>
      <c r="B467" t="s">
        <v>2211</v>
      </c>
      <c r="C467" t="s">
        <v>2075</v>
      </c>
    </row>
    <row r="468" spans="1:3" x14ac:dyDescent="0.15">
      <c r="A468" t="s">
        <v>1908</v>
      </c>
      <c r="B468" t="s">
        <v>2076</v>
      </c>
      <c r="C468" t="s">
        <v>2077</v>
      </c>
    </row>
    <row r="469" spans="1:3" x14ac:dyDescent="0.15">
      <c r="A469" t="s">
        <v>1909</v>
      </c>
      <c r="B469" t="s">
        <v>2395</v>
      </c>
      <c r="C469" t="s">
        <v>2396</v>
      </c>
    </row>
    <row r="470" spans="1:3" x14ac:dyDescent="0.15">
      <c r="A470" t="s">
        <v>1910</v>
      </c>
      <c r="B470" t="s">
        <v>2397</v>
      </c>
      <c r="C470" t="s">
        <v>2398</v>
      </c>
    </row>
    <row r="471" spans="1:3" x14ac:dyDescent="0.15">
      <c r="A471" t="s">
        <v>1911</v>
      </c>
      <c r="B471" t="s">
        <v>2399</v>
      </c>
      <c r="C471" t="s">
        <v>2400</v>
      </c>
    </row>
    <row r="472" spans="1:3" x14ac:dyDescent="0.15">
      <c r="A472" t="s">
        <v>1912</v>
      </c>
      <c r="B472" t="s">
        <v>2401</v>
      </c>
      <c r="C472" t="s">
        <v>2402</v>
      </c>
    </row>
    <row r="473" spans="1:3" x14ac:dyDescent="0.15">
      <c r="A473" t="s">
        <v>1760</v>
      </c>
      <c r="B473" t="s">
        <v>2240</v>
      </c>
      <c r="C473" t="s">
        <v>2241</v>
      </c>
    </row>
    <row r="474" spans="1:3" x14ac:dyDescent="0.15">
      <c r="A474" t="s">
        <v>1761</v>
      </c>
      <c r="B474" t="s">
        <v>2242</v>
      </c>
      <c r="C474" t="s">
        <v>2243</v>
      </c>
    </row>
    <row r="475" spans="1:3" x14ac:dyDescent="0.15">
      <c r="A475" t="s">
        <v>1913</v>
      </c>
      <c r="B475" t="s">
        <v>2244</v>
      </c>
      <c r="C475" t="s">
        <v>2245</v>
      </c>
    </row>
    <row r="476" spans="1:3" x14ac:dyDescent="0.15">
      <c r="A476" t="s">
        <v>1914</v>
      </c>
      <c r="B476" t="s">
        <v>2246</v>
      </c>
      <c r="C476" t="s">
        <v>2247</v>
      </c>
    </row>
    <row r="477" spans="1:3" x14ac:dyDescent="0.15">
      <c r="A477" t="s">
        <v>1915</v>
      </c>
      <c r="B477" t="s">
        <v>2248</v>
      </c>
      <c r="C477" t="s">
        <v>2249</v>
      </c>
    </row>
    <row r="478" spans="1:3" x14ac:dyDescent="0.15">
      <c r="A478" t="s">
        <v>1762</v>
      </c>
      <c r="B478" t="s">
        <v>2250</v>
      </c>
      <c r="C478" t="s">
        <v>2251</v>
      </c>
    </row>
    <row r="479" spans="1:3" x14ac:dyDescent="0.15">
      <c r="A479" t="s">
        <v>1916</v>
      </c>
      <c r="B479" t="s">
        <v>2252</v>
      </c>
      <c r="C479" t="s">
        <v>2136</v>
      </c>
    </row>
    <row r="480" spans="1:3" x14ac:dyDescent="0.15">
      <c r="A480" t="s">
        <v>1917</v>
      </c>
      <c r="B480" t="s">
        <v>2253</v>
      </c>
      <c r="C480" t="s">
        <v>2254</v>
      </c>
    </row>
    <row r="481" spans="1:3" x14ac:dyDescent="0.15">
      <c r="A481" t="s">
        <v>1918</v>
      </c>
      <c r="B481" t="s">
        <v>2255</v>
      </c>
      <c r="C481" t="s">
        <v>2256</v>
      </c>
    </row>
    <row r="482" spans="1:3" x14ac:dyDescent="0.15">
      <c r="A482" t="s">
        <v>1919</v>
      </c>
      <c r="B482" t="s">
        <v>2257</v>
      </c>
      <c r="C482" t="s">
        <v>2258</v>
      </c>
    </row>
    <row r="483" spans="1:3" x14ac:dyDescent="0.15">
      <c r="A483" t="s">
        <v>1920</v>
      </c>
      <c r="B483" t="s">
        <v>2259</v>
      </c>
      <c r="C483" t="s">
        <v>2260</v>
      </c>
    </row>
    <row r="484" spans="1:3" x14ac:dyDescent="0.15">
      <c r="A484" t="s">
        <v>1921</v>
      </c>
      <c r="B484" t="s">
        <v>2261</v>
      </c>
      <c r="C484" t="s">
        <v>2262</v>
      </c>
    </row>
    <row r="485" spans="1:3" x14ac:dyDescent="0.15">
      <c r="A485" t="s">
        <v>1763</v>
      </c>
      <c r="B485" t="s">
        <v>2263</v>
      </c>
      <c r="C485" t="s">
        <v>2264</v>
      </c>
    </row>
    <row r="486" spans="1:3" x14ac:dyDescent="0.15">
      <c r="A486" t="s">
        <v>1922</v>
      </c>
      <c r="B486" t="s">
        <v>2265</v>
      </c>
      <c r="C486" t="s">
        <v>2243</v>
      </c>
    </row>
    <row r="487" spans="1:3" x14ac:dyDescent="0.15">
      <c r="A487" t="s">
        <v>1764</v>
      </c>
      <c r="B487" t="s">
        <v>2266</v>
      </c>
      <c r="C487" t="s">
        <v>1676</v>
      </c>
    </row>
    <row r="488" spans="1:3" x14ac:dyDescent="0.15">
      <c r="A488" t="s">
        <v>1923</v>
      </c>
      <c r="B488" t="s">
        <v>2267</v>
      </c>
      <c r="C488" t="s">
        <v>2268</v>
      </c>
    </row>
    <row r="489" spans="1:3" x14ac:dyDescent="0.15">
      <c r="A489" t="s">
        <v>1924</v>
      </c>
      <c r="B489" t="s">
        <v>2269</v>
      </c>
      <c r="C489" t="s">
        <v>2270</v>
      </c>
    </row>
    <row r="490" spans="1:3" x14ac:dyDescent="0.15">
      <c r="A490" t="s">
        <v>1925</v>
      </c>
      <c r="B490" t="s">
        <v>2271</v>
      </c>
      <c r="C490" t="s">
        <v>2272</v>
      </c>
    </row>
    <row r="491" spans="1:3" x14ac:dyDescent="0.15">
      <c r="A491" t="s">
        <v>1926</v>
      </c>
      <c r="B491" t="s">
        <v>2273</v>
      </c>
      <c r="C491" t="s">
        <v>2274</v>
      </c>
    </row>
    <row r="492" spans="1:3" x14ac:dyDescent="0.15">
      <c r="A492" t="s">
        <v>1927</v>
      </c>
      <c r="B492" t="s">
        <v>2275</v>
      </c>
      <c r="C492" t="s">
        <v>2136</v>
      </c>
    </row>
    <row r="493" spans="1:3" x14ac:dyDescent="0.15">
      <c r="A493" t="s">
        <v>1765</v>
      </c>
      <c r="B493" t="s">
        <v>2276</v>
      </c>
      <c r="C493" t="s">
        <v>2277</v>
      </c>
    </row>
    <row r="494" spans="1:3" x14ac:dyDescent="0.15">
      <c r="A494" t="s">
        <v>1766</v>
      </c>
      <c r="B494" t="s">
        <v>2278</v>
      </c>
      <c r="C494" t="s">
        <v>2279</v>
      </c>
    </row>
    <row r="495" spans="1:3" x14ac:dyDescent="0.15">
      <c r="A495" t="s">
        <v>1767</v>
      </c>
      <c r="B495" t="s">
        <v>2280</v>
      </c>
      <c r="C495" t="s">
        <v>2281</v>
      </c>
    </row>
    <row r="496" spans="1:3" x14ac:dyDescent="0.15">
      <c r="A496" t="s">
        <v>1928</v>
      </c>
      <c r="B496" t="s">
        <v>2282</v>
      </c>
      <c r="C496" t="s">
        <v>2283</v>
      </c>
    </row>
    <row r="497" spans="1:3" x14ac:dyDescent="0.15">
      <c r="A497" t="s">
        <v>1768</v>
      </c>
      <c r="B497" t="s">
        <v>2284</v>
      </c>
      <c r="C497" t="s">
        <v>2116</v>
      </c>
    </row>
    <row r="498" spans="1:3" x14ac:dyDescent="0.15">
      <c r="A498" t="s">
        <v>1769</v>
      </c>
      <c r="B498" t="s">
        <v>2117</v>
      </c>
      <c r="C498" t="s">
        <v>2118</v>
      </c>
    </row>
    <row r="499" spans="1:3" x14ac:dyDescent="0.15">
      <c r="A499" t="s">
        <v>1480</v>
      </c>
      <c r="B499" t="s">
        <v>2119</v>
      </c>
      <c r="C499" t="s">
        <v>2120</v>
      </c>
    </row>
    <row r="500" spans="1:3" x14ac:dyDescent="0.15">
      <c r="A500" t="s">
        <v>1929</v>
      </c>
      <c r="B500" t="s">
        <v>2419</v>
      </c>
      <c r="C500" t="s">
        <v>2420</v>
      </c>
    </row>
    <row r="501" spans="1:3" x14ac:dyDescent="0.15">
      <c r="A501" t="s">
        <v>1930</v>
      </c>
      <c r="B501" t="s">
        <v>2421</v>
      </c>
      <c r="C501" t="s">
        <v>2422</v>
      </c>
    </row>
    <row r="502" spans="1:3" x14ac:dyDescent="0.15">
      <c r="A502" t="s">
        <v>1931</v>
      </c>
      <c r="B502" t="s">
        <v>2423</v>
      </c>
      <c r="C502" t="s">
        <v>2424</v>
      </c>
    </row>
    <row r="503" spans="1:3" x14ac:dyDescent="0.15">
      <c r="A503" t="s">
        <v>1932</v>
      </c>
      <c r="B503" t="s">
        <v>2425</v>
      </c>
      <c r="C503" t="s">
        <v>2426</v>
      </c>
    </row>
    <row r="504" spans="1:3" x14ac:dyDescent="0.15">
      <c r="A504" t="s">
        <v>1933</v>
      </c>
      <c r="B504" t="s">
        <v>2427</v>
      </c>
      <c r="C504" t="s">
        <v>2428</v>
      </c>
    </row>
    <row r="505" spans="1:3" x14ac:dyDescent="0.15">
      <c r="A505" t="s">
        <v>1934</v>
      </c>
      <c r="B505" t="s">
        <v>2429</v>
      </c>
      <c r="C505" t="s">
        <v>2430</v>
      </c>
    </row>
    <row r="506" spans="1:3" x14ac:dyDescent="0.15">
      <c r="A506" t="s">
        <v>1935</v>
      </c>
      <c r="B506" t="s">
        <v>2431</v>
      </c>
      <c r="C506" t="s">
        <v>2432</v>
      </c>
    </row>
    <row r="507" spans="1:3" x14ac:dyDescent="0.15">
      <c r="A507" t="s">
        <v>1936</v>
      </c>
      <c r="B507" t="s">
        <v>2433</v>
      </c>
      <c r="C507" t="s">
        <v>2434</v>
      </c>
    </row>
    <row r="508" spans="1:3" x14ac:dyDescent="0.15">
      <c r="A508" t="s">
        <v>1937</v>
      </c>
      <c r="B508" t="s">
        <v>2435</v>
      </c>
      <c r="C508" t="s">
        <v>2436</v>
      </c>
    </row>
    <row r="509" spans="1:3" x14ac:dyDescent="0.15">
      <c r="A509" t="s">
        <v>1938</v>
      </c>
      <c r="B509" t="s">
        <v>2437</v>
      </c>
      <c r="C509" t="s">
        <v>2438</v>
      </c>
    </row>
    <row r="510" spans="1:3" x14ac:dyDescent="0.15">
      <c r="A510" t="s">
        <v>1939</v>
      </c>
      <c r="B510" t="s">
        <v>2439</v>
      </c>
      <c r="C510" t="s">
        <v>2440</v>
      </c>
    </row>
    <row r="511" spans="1:3" x14ac:dyDescent="0.15">
      <c r="A511" t="s">
        <v>1940</v>
      </c>
      <c r="B511" t="s">
        <v>2311</v>
      </c>
      <c r="C511" t="s">
        <v>2312</v>
      </c>
    </row>
    <row r="512" spans="1:3" x14ac:dyDescent="0.15">
      <c r="A512" t="s">
        <v>1941</v>
      </c>
      <c r="B512" t="s">
        <v>2313</v>
      </c>
      <c r="C512" t="s">
        <v>2314</v>
      </c>
    </row>
    <row r="513" spans="1:3" x14ac:dyDescent="0.15">
      <c r="A513" t="s">
        <v>1942</v>
      </c>
      <c r="B513" t="s">
        <v>2315</v>
      </c>
      <c r="C513" t="s">
        <v>2316</v>
      </c>
    </row>
    <row r="514" spans="1:3" x14ac:dyDescent="0.15">
      <c r="A514" t="s">
        <v>1481</v>
      </c>
      <c r="B514" t="s">
        <v>2317</v>
      </c>
      <c r="C514" t="s">
        <v>2318</v>
      </c>
    </row>
    <row r="515" spans="1:3" x14ac:dyDescent="0.15">
      <c r="A515" t="s">
        <v>1748</v>
      </c>
      <c r="B515" t="s">
        <v>2319</v>
      </c>
      <c r="C515" t="s">
        <v>2467</v>
      </c>
    </row>
    <row r="516" spans="1:3" x14ac:dyDescent="0.15">
      <c r="A516" t="s">
        <v>1749</v>
      </c>
      <c r="B516" t="s">
        <v>2468</v>
      </c>
      <c r="C516" t="s">
        <v>2469</v>
      </c>
    </row>
    <row r="517" spans="1:3" x14ac:dyDescent="0.15">
      <c r="A517" t="s">
        <v>1943</v>
      </c>
      <c r="B517" t="s">
        <v>2470</v>
      </c>
      <c r="C517" t="s">
        <v>2471</v>
      </c>
    </row>
    <row r="518" spans="1:3" x14ac:dyDescent="0.15">
      <c r="A518" t="s">
        <v>1944</v>
      </c>
      <c r="B518" t="s">
        <v>2472</v>
      </c>
      <c r="C518" t="s">
        <v>2473</v>
      </c>
    </row>
    <row r="519" spans="1:3" x14ac:dyDescent="0.15">
      <c r="A519" t="s">
        <v>1750</v>
      </c>
      <c r="B519" t="s">
        <v>2474</v>
      </c>
      <c r="C519" t="s">
        <v>2475</v>
      </c>
    </row>
    <row r="520" spans="1:3" x14ac:dyDescent="0.15">
      <c r="A520" t="s">
        <v>1751</v>
      </c>
      <c r="B520" t="s">
        <v>2476</v>
      </c>
      <c r="C520" t="s">
        <v>2477</v>
      </c>
    </row>
    <row r="521" spans="1:3" x14ac:dyDescent="0.15">
      <c r="A521" t="s">
        <v>1752</v>
      </c>
      <c r="B521" t="s">
        <v>2478</v>
      </c>
      <c r="C521" t="s">
        <v>2479</v>
      </c>
    </row>
    <row r="522" spans="1:3" x14ac:dyDescent="0.15">
      <c r="A522" t="s">
        <v>1753</v>
      </c>
      <c r="B522" t="s">
        <v>2480</v>
      </c>
      <c r="C522" t="s">
        <v>2481</v>
      </c>
    </row>
    <row r="523" spans="1:3" x14ac:dyDescent="0.15">
      <c r="A523" t="s">
        <v>1754</v>
      </c>
      <c r="B523" t="s">
        <v>2482</v>
      </c>
      <c r="C523" t="s">
        <v>2312</v>
      </c>
    </row>
    <row r="524" spans="1:3" x14ac:dyDescent="0.15">
      <c r="A524" t="s">
        <v>1755</v>
      </c>
      <c r="B524" t="s">
        <v>2483</v>
      </c>
      <c r="C524" t="s">
        <v>2484</v>
      </c>
    </row>
    <row r="525" spans="1:3" x14ac:dyDescent="0.15">
      <c r="A525" t="s">
        <v>1756</v>
      </c>
      <c r="B525" t="s">
        <v>2321</v>
      </c>
      <c r="C525" t="s">
        <v>2322</v>
      </c>
    </row>
    <row r="526" spans="1:3" x14ac:dyDescent="0.15">
      <c r="A526" t="s">
        <v>1757</v>
      </c>
      <c r="B526" t="s">
        <v>2323</v>
      </c>
      <c r="C526" t="s">
        <v>2324</v>
      </c>
    </row>
    <row r="527" spans="1:3" x14ac:dyDescent="0.15">
      <c r="A527" t="s">
        <v>1758</v>
      </c>
      <c r="B527" t="s">
        <v>2325</v>
      </c>
      <c r="C527" t="s">
        <v>2326</v>
      </c>
    </row>
    <row r="528" spans="1:3" x14ac:dyDescent="0.15">
      <c r="A528" t="s">
        <v>1759</v>
      </c>
      <c r="B528" t="s">
        <v>2327</v>
      </c>
      <c r="C528" t="s">
        <v>2328</v>
      </c>
    </row>
    <row r="529" spans="1:3" x14ac:dyDescent="0.15">
      <c r="A529" t="s">
        <v>1945</v>
      </c>
      <c r="B529" t="s">
        <v>2329</v>
      </c>
      <c r="C529" t="s">
        <v>2330</v>
      </c>
    </row>
    <row r="530" spans="1:3" x14ac:dyDescent="0.15">
      <c r="A530" t="s">
        <v>1464</v>
      </c>
      <c r="B530" t="s">
        <v>2331</v>
      </c>
      <c r="C530" t="s">
        <v>2332</v>
      </c>
    </row>
    <row r="531" spans="1:3" x14ac:dyDescent="0.15">
      <c r="A531" t="s">
        <v>1465</v>
      </c>
      <c r="B531" t="s">
        <v>2333</v>
      </c>
      <c r="C531" t="s">
        <v>2334</v>
      </c>
    </row>
    <row r="532" spans="1:3" x14ac:dyDescent="0.15">
      <c r="A532" t="s">
        <v>1466</v>
      </c>
      <c r="B532" t="s">
        <v>2335</v>
      </c>
      <c r="C532" t="s">
        <v>2316</v>
      </c>
    </row>
    <row r="533" spans="1:3" x14ac:dyDescent="0.15">
      <c r="A533" t="s">
        <v>1467</v>
      </c>
      <c r="B533" t="s">
        <v>2336</v>
      </c>
      <c r="C533" t="s">
        <v>2337</v>
      </c>
    </row>
    <row r="534" spans="1:3" x14ac:dyDescent="0.15">
      <c r="A534" t="s">
        <v>1468</v>
      </c>
      <c r="B534" t="s">
        <v>2338</v>
      </c>
      <c r="C534" t="s">
        <v>2339</v>
      </c>
    </row>
    <row r="535" spans="1:3" x14ac:dyDescent="0.15">
      <c r="A535" t="s">
        <v>1469</v>
      </c>
      <c r="B535" t="s">
        <v>2340</v>
      </c>
      <c r="C535" t="s">
        <v>2341</v>
      </c>
    </row>
    <row r="536" spans="1:3" x14ac:dyDescent="0.15">
      <c r="A536" t="s">
        <v>1470</v>
      </c>
      <c r="B536" t="s">
        <v>2342</v>
      </c>
      <c r="C536" t="s">
        <v>2343</v>
      </c>
    </row>
    <row r="537" spans="1:3" x14ac:dyDescent="0.15">
      <c r="A537" t="s">
        <v>1471</v>
      </c>
      <c r="B537" t="s">
        <v>2344</v>
      </c>
      <c r="C537" t="s">
        <v>2345</v>
      </c>
    </row>
    <row r="538" spans="1:3" x14ac:dyDescent="0.15">
      <c r="A538" t="s">
        <v>1946</v>
      </c>
      <c r="B538" t="s">
        <v>2346</v>
      </c>
      <c r="C538" t="s">
        <v>2347</v>
      </c>
    </row>
    <row r="539" spans="1:3" x14ac:dyDescent="0.15">
      <c r="A539" t="s">
        <v>1472</v>
      </c>
      <c r="B539" t="s">
        <v>2348</v>
      </c>
      <c r="C539" t="s">
        <v>2349</v>
      </c>
    </row>
    <row r="540" spans="1:3" x14ac:dyDescent="0.15">
      <c r="A540" t="s">
        <v>1727</v>
      </c>
      <c r="B540" t="s">
        <v>2350</v>
      </c>
      <c r="C540" t="s">
        <v>2351</v>
      </c>
    </row>
    <row r="541" spans="1:3" x14ac:dyDescent="0.15">
      <c r="A541" t="s">
        <v>1728</v>
      </c>
      <c r="B541" t="s">
        <v>2352</v>
      </c>
      <c r="C541" t="s">
        <v>2353</v>
      </c>
    </row>
    <row r="542" spans="1:3" x14ac:dyDescent="0.15">
      <c r="A542" t="s">
        <v>1729</v>
      </c>
      <c r="B542" t="s">
        <v>2354</v>
      </c>
      <c r="C542" t="s">
        <v>2355</v>
      </c>
    </row>
    <row r="543" spans="1:3" x14ac:dyDescent="0.15">
      <c r="A543" t="s">
        <v>1473</v>
      </c>
      <c r="B543" t="s">
        <v>2487</v>
      </c>
      <c r="C543" t="s">
        <v>2488</v>
      </c>
    </row>
    <row r="544" spans="1:3" x14ac:dyDescent="0.15">
      <c r="A544" t="s">
        <v>1730</v>
      </c>
      <c r="B544" t="s">
        <v>2489</v>
      </c>
      <c r="C544" t="s">
        <v>2490</v>
      </c>
    </row>
    <row r="545" spans="1:3" x14ac:dyDescent="0.15">
      <c r="A545" t="s">
        <v>1731</v>
      </c>
      <c r="B545" t="s">
        <v>2491</v>
      </c>
      <c r="C545" t="s">
        <v>2492</v>
      </c>
    </row>
    <row r="546" spans="1:3" x14ac:dyDescent="0.15">
      <c r="A546" t="s">
        <v>1732</v>
      </c>
      <c r="B546" t="s">
        <v>2493</v>
      </c>
      <c r="C546" t="s">
        <v>2494</v>
      </c>
    </row>
    <row r="547" spans="1:3" x14ac:dyDescent="0.15">
      <c r="A547" t="s">
        <v>1733</v>
      </c>
      <c r="B547" t="s">
        <v>2495</v>
      </c>
      <c r="C547" t="s">
        <v>2496</v>
      </c>
    </row>
    <row r="548" spans="1:3" x14ac:dyDescent="0.15">
      <c r="A548" t="s">
        <v>1474</v>
      </c>
      <c r="B548" t="s">
        <v>2497</v>
      </c>
      <c r="C548" t="s">
        <v>2498</v>
      </c>
    </row>
    <row r="549" spans="1:3" x14ac:dyDescent="0.15">
      <c r="A549" t="s">
        <v>1475</v>
      </c>
      <c r="B549" t="s">
        <v>2499</v>
      </c>
      <c r="C549" t="s">
        <v>2500</v>
      </c>
    </row>
    <row r="550" spans="1:3" x14ac:dyDescent="0.15">
      <c r="A550" t="s">
        <v>1476</v>
      </c>
      <c r="B550" t="s">
        <v>2501</v>
      </c>
      <c r="C550" t="s">
        <v>2502</v>
      </c>
    </row>
    <row r="551" spans="1:3" x14ac:dyDescent="0.15">
      <c r="A551" t="s">
        <v>1528</v>
      </c>
      <c r="B551" t="s">
        <v>2503</v>
      </c>
      <c r="C551" t="s">
        <v>2504</v>
      </c>
    </row>
    <row r="552" spans="1:3" x14ac:dyDescent="0.15">
      <c r="A552" t="s">
        <v>1529</v>
      </c>
      <c r="B552" t="s">
        <v>2505</v>
      </c>
      <c r="C552" t="s">
        <v>2506</v>
      </c>
    </row>
    <row r="553" spans="1:3" x14ac:dyDescent="0.15">
      <c r="A553" t="s">
        <v>1530</v>
      </c>
      <c r="B553" t="s">
        <v>2507</v>
      </c>
      <c r="C553" t="s">
        <v>2508</v>
      </c>
    </row>
    <row r="554" spans="1:3" x14ac:dyDescent="0.15">
      <c r="A554" t="s">
        <v>1531</v>
      </c>
      <c r="B554" t="s">
        <v>2212</v>
      </c>
      <c r="C554" t="s">
        <v>2213</v>
      </c>
    </row>
    <row r="555" spans="1:3" x14ac:dyDescent="0.15">
      <c r="A555" t="s">
        <v>1477</v>
      </c>
      <c r="B555" t="s">
        <v>2214</v>
      </c>
      <c r="C555" t="s">
        <v>2215</v>
      </c>
    </row>
    <row r="556" spans="1:3" x14ac:dyDescent="0.15">
      <c r="A556" t="s">
        <v>1532</v>
      </c>
      <c r="B556" t="s">
        <v>2216</v>
      </c>
      <c r="C556" t="s">
        <v>1998</v>
      </c>
    </row>
    <row r="557" spans="1:3" x14ac:dyDescent="0.15">
      <c r="A557" t="s">
        <v>1533</v>
      </c>
      <c r="B557" t="s">
        <v>2217</v>
      </c>
      <c r="C557" t="s">
        <v>2218</v>
      </c>
    </row>
    <row r="558" spans="1:3" x14ac:dyDescent="0.15">
      <c r="A558" t="s">
        <v>1534</v>
      </c>
      <c r="B558" t="s">
        <v>2219</v>
      </c>
      <c r="C558" t="s">
        <v>2387</v>
      </c>
    </row>
    <row r="559" spans="1:3" x14ac:dyDescent="0.15">
      <c r="A559" t="s">
        <v>1478</v>
      </c>
      <c r="B559" t="s">
        <v>2388</v>
      </c>
      <c r="C559" t="s">
        <v>2389</v>
      </c>
    </row>
    <row r="560" spans="1:3" x14ac:dyDescent="0.15">
      <c r="A560" t="s">
        <v>1479</v>
      </c>
      <c r="B560" t="s">
        <v>2390</v>
      </c>
      <c r="C560" t="s">
        <v>2391</v>
      </c>
    </row>
    <row r="561" spans="1:3" x14ac:dyDescent="0.15">
      <c r="A561" t="s">
        <v>1726</v>
      </c>
      <c r="B561" t="s">
        <v>2392</v>
      </c>
      <c r="C561" t="s">
        <v>2490</v>
      </c>
    </row>
    <row r="562" spans="1:3" x14ac:dyDescent="0.15">
      <c r="A562" t="s">
        <v>1445</v>
      </c>
      <c r="B562" t="s">
        <v>2393</v>
      </c>
      <c r="C562" t="s">
        <v>2494</v>
      </c>
    </row>
    <row r="563" spans="1:3" x14ac:dyDescent="0.15">
      <c r="A563" t="s">
        <v>1446</v>
      </c>
      <c r="B563" t="s">
        <v>2394</v>
      </c>
      <c r="C563" t="s">
        <v>2378</v>
      </c>
    </row>
    <row r="564" spans="1:3" x14ac:dyDescent="0.15">
      <c r="A564" t="s">
        <v>1535</v>
      </c>
      <c r="B564" t="s">
        <v>2379</v>
      </c>
      <c r="C564" t="s">
        <v>2380</v>
      </c>
    </row>
    <row r="565" spans="1:3" x14ac:dyDescent="0.15">
      <c r="A565" t="s">
        <v>1536</v>
      </c>
      <c r="B565" t="s">
        <v>2381</v>
      </c>
      <c r="C565" t="s">
        <v>2382</v>
      </c>
    </row>
    <row r="566" spans="1:3" x14ac:dyDescent="0.15">
      <c r="A566" t="s">
        <v>1537</v>
      </c>
      <c r="B566" t="s">
        <v>2383</v>
      </c>
      <c r="C566" t="s">
        <v>2384</v>
      </c>
    </row>
    <row r="567" spans="1:3" x14ac:dyDescent="0.15">
      <c r="A567" t="s">
        <v>1447</v>
      </c>
      <c r="B567" t="s">
        <v>2385</v>
      </c>
      <c r="C567" t="s">
        <v>2386</v>
      </c>
    </row>
    <row r="568" spans="1:3" x14ac:dyDescent="0.15">
      <c r="A568" t="s">
        <v>1448</v>
      </c>
      <c r="B568" t="s">
        <v>2548</v>
      </c>
      <c r="C568" t="s">
        <v>2549</v>
      </c>
    </row>
    <row r="569" spans="1:3" x14ac:dyDescent="0.15">
      <c r="A569" t="s">
        <v>1538</v>
      </c>
      <c r="B569" t="s">
        <v>2550</v>
      </c>
      <c r="C569" t="s">
        <v>2380</v>
      </c>
    </row>
    <row r="570" spans="1:3" x14ac:dyDescent="0.15">
      <c r="A570" t="s">
        <v>1449</v>
      </c>
      <c r="B570" t="s">
        <v>2551</v>
      </c>
      <c r="C570" t="s">
        <v>2552</v>
      </c>
    </row>
    <row r="571" spans="1:3" x14ac:dyDescent="0.15">
      <c r="A571" t="s">
        <v>1450</v>
      </c>
      <c r="B571" t="s">
        <v>2553</v>
      </c>
      <c r="C571" t="s">
        <v>2380</v>
      </c>
    </row>
    <row r="572" spans="1:3" x14ac:dyDescent="0.15">
      <c r="A572" t="s">
        <v>1451</v>
      </c>
      <c r="B572" t="s">
        <v>2554</v>
      </c>
      <c r="C572" t="s">
        <v>2555</v>
      </c>
    </row>
    <row r="573" spans="1:3" x14ac:dyDescent="0.15">
      <c r="A573" t="s">
        <v>1539</v>
      </c>
      <c r="B573" t="s">
        <v>2556</v>
      </c>
      <c r="C573" t="s">
        <v>2557</v>
      </c>
    </row>
    <row r="574" spans="1:3" x14ac:dyDescent="0.15">
      <c r="A574" t="s">
        <v>1452</v>
      </c>
      <c r="B574" t="s">
        <v>2558</v>
      </c>
      <c r="C574" t="s">
        <v>2559</v>
      </c>
    </row>
    <row r="575" spans="1:3" x14ac:dyDescent="0.15">
      <c r="A575" t="s">
        <v>1540</v>
      </c>
      <c r="B575" t="s">
        <v>2560</v>
      </c>
      <c r="C575" t="s">
        <v>2561</v>
      </c>
    </row>
    <row r="576" spans="1:3" x14ac:dyDescent="0.15">
      <c r="A576" t="s">
        <v>1541</v>
      </c>
      <c r="B576" t="s">
        <v>2562</v>
      </c>
      <c r="C576" t="s">
        <v>2563</v>
      </c>
    </row>
    <row r="577" spans="1:3" x14ac:dyDescent="0.15">
      <c r="A577" t="s">
        <v>1453</v>
      </c>
      <c r="B577" t="s">
        <v>2403</v>
      </c>
      <c r="C577" t="s">
        <v>2404</v>
      </c>
    </row>
    <row r="578" spans="1:3" x14ac:dyDescent="0.15">
      <c r="A578" t="s">
        <v>1454</v>
      </c>
      <c r="B578" t="s">
        <v>2405</v>
      </c>
      <c r="C578" t="s">
        <v>2406</v>
      </c>
    </row>
    <row r="579" spans="1:3" x14ac:dyDescent="0.15">
      <c r="A579" t="s">
        <v>1542</v>
      </c>
      <c r="B579" t="s">
        <v>2407</v>
      </c>
      <c r="C579" t="s">
        <v>2408</v>
      </c>
    </row>
    <row r="580" spans="1:3" x14ac:dyDescent="0.15">
      <c r="A580" t="s">
        <v>1455</v>
      </c>
      <c r="B580" t="s">
        <v>2409</v>
      </c>
      <c r="C580" t="s">
        <v>2410</v>
      </c>
    </row>
    <row r="581" spans="1:3" x14ac:dyDescent="0.15">
      <c r="A581" t="s">
        <v>1456</v>
      </c>
      <c r="B581" t="s">
        <v>2411</v>
      </c>
      <c r="C581" t="s">
        <v>2412</v>
      </c>
    </row>
    <row r="582" spans="1:3" x14ac:dyDescent="0.15">
      <c r="A582" t="s">
        <v>1457</v>
      </c>
      <c r="B582" t="s">
        <v>2413</v>
      </c>
      <c r="C582" t="s">
        <v>2414</v>
      </c>
    </row>
    <row r="583" spans="1:3" x14ac:dyDescent="0.15">
      <c r="A583" t="s">
        <v>1458</v>
      </c>
      <c r="B583" t="s">
        <v>2415</v>
      </c>
      <c r="C583" t="s">
        <v>2416</v>
      </c>
    </row>
    <row r="584" spans="1:3" x14ac:dyDescent="0.15">
      <c r="A584" t="s">
        <v>1459</v>
      </c>
      <c r="B584" t="s">
        <v>2417</v>
      </c>
      <c r="C584" t="s">
        <v>2418</v>
      </c>
    </row>
    <row r="585" spans="1:3" x14ac:dyDescent="0.15">
      <c r="A585" t="s">
        <v>1460</v>
      </c>
      <c r="B585" t="s">
        <v>2617</v>
      </c>
      <c r="C585" t="s">
        <v>2618</v>
      </c>
    </row>
    <row r="586" spans="1:3" x14ac:dyDescent="0.15">
      <c r="A586" t="s">
        <v>1543</v>
      </c>
      <c r="B586" t="s">
        <v>2619</v>
      </c>
      <c r="C586" t="s">
        <v>2620</v>
      </c>
    </row>
    <row r="587" spans="1:3" x14ac:dyDescent="0.15">
      <c r="A587" t="s">
        <v>1461</v>
      </c>
      <c r="B587" t="s">
        <v>2621</v>
      </c>
      <c r="C587" t="s">
        <v>2622</v>
      </c>
    </row>
    <row r="588" spans="1:3" x14ac:dyDescent="0.15">
      <c r="A588" t="s">
        <v>1544</v>
      </c>
      <c r="B588" t="s">
        <v>2623</v>
      </c>
      <c r="C588" t="s">
        <v>2624</v>
      </c>
    </row>
    <row r="589" spans="1:3" x14ac:dyDescent="0.15">
      <c r="A589" t="s">
        <v>1462</v>
      </c>
      <c r="B589" t="s">
        <v>2625</v>
      </c>
      <c r="C589" t="s">
        <v>2626</v>
      </c>
    </row>
    <row r="590" spans="1:3" x14ac:dyDescent="0.15">
      <c r="A590" t="s">
        <v>1545</v>
      </c>
      <c r="B590" t="s">
        <v>2627</v>
      </c>
      <c r="C590" t="s">
        <v>2628</v>
      </c>
    </row>
    <row r="591" spans="1:3" x14ac:dyDescent="0.15">
      <c r="A591" t="s">
        <v>1463</v>
      </c>
      <c r="B591" t="s">
        <v>2629</v>
      </c>
      <c r="C591" t="s">
        <v>2564</v>
      </c>
    </row>
    <row r="592" spans="1:3" x14ac:dyDescent="0.15">
      <c r="A592" t="s">
        <v>1546</v>
      </c>
      <c r="B592" t="s">
        <v>2565</v>
      </c>
      <c r="C592" t="s">
        <v>2566</v>
      </c>
    </row>
    <row r="593" spans="1:3" x14ac:dyDescent="0.15">
      <c r="A593" t="s">
        <v>1547</v>
      </c>
      <c r="B593" t="s">
        <v>2567</v>
      </c>
      <c r="C593" t="s">
        <v>2568</v>
      </c>
    </row>
    <row r="594" spans="1:3" x14ac:dyDescent="0.15">
      <c r="A594" t="s">
        <v>1717</v>
      </c>
      <c r="B594" t="s">
        <v>2569</v>
      </c>
      <c r="C594" t="s">
        <v>2496</v>
      </c>
    </row>
    <row r="595" spans="1:3" x14ac:dyDescent="0.15">
      <c r="A595" t="s">
        <v>1548</v>
      </c>
      <c r="B595" t="s">
        <v>2570</v>
      </c>
      <c r="C595" t="s">
        <v>2571</v>
      </c>
    </row>
    <row r="596" spans="1:3" x14ac:dyDescent="0.15">
      <c r="A596" t="s">
        <v>1718</v>
      </c>
      <c r="B596" t="s">
        <v>2572</v>
      </c>
      <c r="C596" t="s">
        <v>2573</v>
      </c>
    </row>
    <row r="597" spans="1:3" x14ac:dyDescent="0.15">
      <c r="A597" t="s">
        <v>1549</v>
      </c>
      <c r="B597" t="s">
        <v>2441</v>
      </c>
      <c r="C597" t="s">
        <v>2442</v>
      </c>
    </row>
    <row r="598" spans="1:3" x14ac:dyDescent="0.15">
      <c r="A598" t="s">
        <v>1719</v>
      </c>
      <c r="B598" t="s">
        <v>2443</v>
      </c>
      <c r="C598" t="s">
        <v>2444</v>
      </c>
    </row>
    <row r="599" spans="1:3" x14ac:dyDescent="0.15">
      <c r="A599" t="s">
        <v>1550</v>
      </c>
      <c r="B599" t="s">
        <v>2445</v>
      </c>
      <c r="C599" t="s">
        <v>2444</v>
      </c>
    </row>
    <row r="600" spans="1:3" x14ac:dyDescent="0.15">
      <c r="A600" t="s">
        <v>1720</v>
      </c>
      <c r="B600" t="s">
        <v>2446</v>
      </c>
      <c r="C600" t="s">
        <v>2285</v>
      </c>
    </row>
    <row r="601" spans="1:3" x14ac:dyDescent="0.15">
      <c r="A601" t="s">
        <v>1721</v>
      </c>
      <c r="B601" t="s">
        <v>2286</v>
      </c>
      <c r="C601" t="s">
        <v>2287</v>
      </c>
    </row>
    <row r="602" spans="1:3" x14ac:dyDescent="0.15">
      <c r="A602" t="s">
        <v>1551</v>
      </c>
      <c r="B602" t="s">
        <v>2288</v>
      </c>
      <c r="C602" t="s">
        <v>2289</v>
      </c>
    </row>
    <row r="603" spans="1:3" x14ac:dyDescent="0.15">
      <c r="A603" t="s">
        <v>1722</v>
      </c>
      <c r="B603" t="s">
        <v>2290</v>
      </c>
      <c r="C603" t="s">
        <v>2291</v>
      </c>
    </row>
    <row r="604" spans="1:3" x14ac:dyDescent="0.15">
      <c r="A604" t="s">
        <v>1552</v>
      </c>
      <c r="B604" t="s">
        <v>2292</v>
      </c>
      <c r="C604" t="s">
        <v>2293</v>
      </c>
    </row>
    <row r="605" spans="1:3" x14ac:dyDescent="0.15">
      <c r="A605" t="s">
        <v>1553</v>
      </c>
      <c r="B605" t="s">
        <v>2294</v>
      </c>
      <c r="C605" t="s">
        <v>2295</v>
      </c>
    </row>
    <row r="606" spans="1:3" x14ac:dyDescent="0.15">
      <c r="A606" t="s">
        <v>1723</v>
      </c>
      <c r="B606" t="s">
        <v>2296</v>
      </c>
      <c r="C606" t="s">
        <v>2297</v>
      </c>
    </row>
    <row r="607" spans="1:3" x14ac:dyDescent="0.15">
      <c r="A607" t="s">
        <v>1724</v>
      </c>
      <c r="B607" t="s">
        <v>2298</v>
      </c>
      <c r="C607" t="s">
        <v>2299</v>
      </c>
    </row>
    <row r="608" spans="1:3" x14ac:dyDescent="0.15">
      <c r="A608" t="s">
        <v>1725</v>
      </c>
      <c r="B608" t="s">
        <v>2300</v>
      </c>
      <c r="C608" t="s">
        <v>2301</v>
      </c>
    </row>
    <row r="609" spans="1:3" x14ac:dyDescent="0.15">
      <c r="A609" t="s">
        <v>1554</v>
      </c>
      <c r="B609" t="s">
        <v>2302</v>
      </c>
      <c r="C609" t="s">
        <v>2303</v>
      </c>
    </row>
    <row r="610" spans="1:3" x14ac:dyDescent="0.15">
      <c r="A610" t="s">
        <v>1555</v>
      </c>
      <c r="B610" t="s">
        <v>2453</v>
      </c>
      <c r="C610" t="s">
        <v>2454</v>
      </c>
    </row>
    <row r="611" spans="1:3" x14ac:dyDescent="0.15">
      <c r="A611" t="s">
        <v>1556</v>
      </c>
      <c r="B611" t="s">
        <v>2455</v>
      </c>
      <c r="C611" t="s">
        <v>2456</v>
      </c>
    </row>
    <row r="612" spans="1:3" x14ac:dyDescent="0.15">
      <c r="A612" t="s">
        <v>1557</v>
      </c>
      <c r="B612" t="s">
        <v>2457</v>
      </c>
      <c r="C612" t="s">
        <v>2458</v>
      </c>
    </row>
    <row r="613" spans="1:3" x14ac:dyDescent="0.15">
      <c r="A613" t="s">
        <v>1558</v>
      </c>
      <c r="B613" t="s">
        <v>2459</v>
      </c>
      <c r="C613" t="s">
        <v>2460</v>
      </c>
    </row>
    <row r="614" spans="1:3" x14ac:dyDescent="0.15">
      <c r="A614" t="s">
        <v>1559</v>
      </c>
      <c r="B614" t="s">
        <v>2461</v>
      </c>
      <c r="C614" t="s">
        <v>2462</v>
      </c>
    </row>
    <row r="615" spans="1:3" x14ac:dyDescent="0.15">
      <c r="A615" t="s">
        <v>1560</v>
      </c>
      <c r="B615" t="s">
        <v>2463</v>
      </c>
      <c r="C615" t="s">
        <v>2464</v>
      </c>
    </row>
    <row r="616" spans="1:3" x14ac:dyDescent="0.15">
      <c r="A616" t="s">
        <v>1561</v>
      </c>
      <c r="B616" t="s">
        <v>2465</v>
      </c>
      <c r="C616" t="s">
        <v>2466</v>
      </c>
    </row>
    <row r="617" spans="1:3" x14ac:dyDescent="0.15">
      <c r="A617" t="s">
        <v>1562</v>
      </c>
      <c r="B617" t="s">
        <v>2631</v>
      </c>
      <c r="C617" t="s">
        <v>2632</v>
      </c>
    </row>
    <row r="618" spans="1:3" x14ac:dyDescent="0.15">
      <c r="A618" t="s">
        <v>1563</v>
      </c>
      <c r="B618" t="s">
        <v>2633</v>
      </c>
      <c r="C618" t="s">
        <v>2634</v>
      </c>
    </row>
    <row r="619" spans="1:3" x14ac:dyDescent="0.15">
      <c r="A619" t="s">
        <v>1564</v>
      </c>
      <c r="B619" t="s">
        <v>2635</v>
      </c>
      <c r="C619" t="s">
        <v>2636</v>
      </c>
    </row>
    <row r="620" spans="1:3" x14ac:dyDescent="0.15">
      <c r="A620" t="s">
        <v>1565</v>
      </c>
      <c r="B620" t="s">
        <v>2637</v>
      </c>
      <c r="C620" t="s">
        <v>2638</v>
      </c>
    </row>
    <row r="621" spans="1:3" x14ac:dyDescent="0.15">
      <c r="A621" t="s">
        <v>1566</v>
      </c>
      <c r="B621" t="s">
        <v>2639</v>
      </c>
      <c r="C621" t="s">
        <v>2640</v>
      </c>
    </row>
    <row r="622" spans="1:3" x14ac:dyDescent="0.15">
      <c r="A622" t="s">
        <v>1567</v>
      </c>
      <c r="B622" t="s">
        <v>2641</v>
      </c>
      <c r="C622" t="s">
        <v>2642</v>
      </c>
    </row>
    <row r="623" spans="1:3" x14ac:dyDescent="0.15">
      <c r="A623" t="s">
        <v>1487</v>
      </c>
      <c r="B623" t="s">
        <v>2643</v>
      </c>
      <c r="C623" t="s">
        <v>2644</v>
      </c>
    </row>
    <row r="624" spans="1:3" x14ac:dyDescent="0.15">
      <c r="A624" t="s">
        <v>1568</v>
      </c>
      <c r="B624" t="s">
        <v>2645</v>
      </c>
      <c r="C624" t="s">
        <v>2646</v>
      </c>
    </row>
    <row r="625" spans="1:3" x14ac:dyDescent="0.15">
      <c r="A625" t="s">
        <v>1569</v>
      </c>
      <c r="B625" t="s">
        <v>2647</v>
      </c>
      <c r="C625" t="s">
        <v>2648</v>
      </c>
    </row>
    <row r="626" spans="1:3" x14ac:dyDescent="0.15">
      <c r="A626" t="s">
        <v>1570</v>
      </c>
      <c r="B626" t="s">
        <v>2485</v>
      </c>
      <c r="C626" t="s">
        <v>2019</v>
      </c>
    </row>
    <row r="627" spans="1:3" x14ac:dyDescent="0.15">
      <c r="A627" t="s">
        <v>1571</v>
      </c>
      <c r="B627" t="s">
        <v>2486</v>
      </c>
      <c r="C627" t="s">
        <v>2675</v>
      </c>
    </row>
    <row r="628" spans="1:3" x14ac:dyDescent="0.15">
      <c r="A628" t="s">
        <v>1572</v>
      </c>
      <c r="B628" t="s">
        <v>2676</v>
      </c>
      <c r="C628" t="s">
        <v>2677</v>
      </c>
    </row>
    <row r="629" spans="1:3" x14ac:dyDescent="0.15">
      <c r="A629" t="s">
        <v>1488</v>
      </c>
      <c r="B629" t="s">
        <v>2678</v>
      </c>
      <c r="C629" t="s">
        <v>2679</v>
      </c>
    </row>
    <row r="630" spans="1:3" x14ac:dyDescent="0.15">
      <c r="A630" t="s">
        <v>1573</v>
      </c>
      <c r="B630" t="s">
        <v>2680</v>
      </c>
      <c r="C630" t="s">
        <v>2681</v>
      </c>
    </row>
    <row r="631" spans="1:3" x14ac:dyDescent="0.15">
      <c r="A631" t="s">
        <v>1574</v>
      </c>
      <c r="B631" t="s">
        <v>2682</v>
      </c>
      <c r="C631" t="s">
        <v>2573</v>
      </c>
    </row>
    <row r="632" spans="1:3" x14ac:dyDescent="0.15">
      <c r="A632" t="s">
        <v>1575</v>
      </c>
      <c r="B632" t="s">
        <v>2683</v>
      </c>
      <c r="C632" t="s">
        <v>2684</v>
      </c>
    </row>
    <row r="633" spans="1:3" x14ac:dyDescent="0.15">
      <c r="A633" t="s">
        <v>1576</v>
      </c>
      <c r="B633" t="s">
        <v>2685</v>
      </c>
      <c r="C633" t="s">
        <v>2239</v>
      </c>
    </row>
    <row r="634" spans="1:3" x14ac:dyDescent="0.15">
      <c r="A634" t="s">
        <v>1489</v>
      </c>
      <c r="B634" t="s">
        <v>2686</v>
      </c>
      <c r="C634" t="s">
        <v>2687</v>
      </c>
    </row>
    <row r="635" spans="1:3" x14ac:dyDescent="0.15">
      <c r="A635" t="s">
        <v>1577</v>
      </c>
      <c r="B635" t="s">
        <v>2688</v>
      </c>
      <c r="C635" t="s">
        <v>2036</v>
      </c>
    </row>
    <row r="636" spans="1:3" x14ac:dyDescent="0.15">
      <c r="A636" t="s">
        <v>1578</v>
      </c>
      <c r="B636" t="s">
        <v>2689</v>
      </c>
      <c r="C636" t="s">
        <v>2690</v>
      </c>
    </row>
    <row r="637" spans="1:3" x14ac:dyDescent="0.15">
      <c r="A637" t="s">
        <v>1490</v>
      </c>
      <c r="B637" t="s">
        <v>2691</v>
      </c>
      <c r="C637" t="s">
        <v>2692</v>
      </c>
    </row>
    <row r="638" spans="1:3" x14ac:dyDescent="0.15">
      <c r="A638" t="s">
        <v>1579</v>
      </c>
      <c r="B638" t="s">
        <v>2693</v>
      </c>
      <c r="C638" t="s">
        <v>2694</v>
      </c>
    </row>
    <row r="639" spans="1:3" x14ac:dyDescent="0.15">
      <c r="A639" t="s">
        <v>1491</v>
      </c>
      <c r="B639" t="s">
        <v>2509</v>
      </c>
      <c r="C639" t="s">
        <v>2510</v>
      </c>
    </row>
    <row r="640" spans="1:3" x14ac:dyDescent="0.15">
      <c r="A640" t="s">
        <v>1580</v>
      </c>
      <c r="B640" t="s">
        <v>2511</v>
      </c>
      <c r="C640" t="s">
        <v>2512</v>
      </c>
    </row>
    <row r="641" spans="1:3" x14ac:dyDescent="0.15">
      <c r="A641" t="s">
        <v>1581</v>
      </c>
      <c r="B641" t="s">
        <v>2513</v>
      </c>
      <c r="C641" t="s">
        <v>2034</v>
      </c>
    </row>
    <row r="642" spans="1:3" x14ac:dyDescent="0.15">
      <c r="A642" t="s">
        <v>1492</v>
      </c>
      <c r="B642" t="s">
        <v>2514</v>
      </c>
      <c r="C642" t="s">
        <v>2515</v>
      </c>
    </row>
    <row r="643" spans="1:3" x14ac:dyDescent="0.15">
      <c r="A643" t="s">
        <v>1582</v>
      </c>
      <c r="B643" t="s">
        <v>2516</v>
      </c>
      <c r="C643" t="s">
        <v>2235</v>
      </c>
    </row>
    <row r="644" spans="1:3" x14ac:dyDescent="0.15">
      <c r="A644" t="s">
        <v>1583</v>
      </c>
      <c r="B644" t="s">
        <v>2517</v>
      </c>
      <c r="C644" t="s">
        <v>2618</v>
      </c>
    </row>
    <row r="645" spans="1:3" x14ac:dyDescent="0.15">
      <c r="A645" t="s">
        <v>1584</v>
      </c>
      <c r="B645" t="s">
        <v>2518</v>
      </c>
      <c r="C645" t="s">
        <v>2227</v>
      </c>
    </row>
    <row r="646" spans="1:3" x14ac:dyDescent="0.15">
      <c r="A646" t="s">
        <v>1713</v>
      </c>
      <c r="B646" t="s">
        <v>2519</v>
      </c>
      <c r="C646" t="s">
        <v>2520</v>
      </c>
    </row>
    <row r="647" spans="1:3" x14ac:dyDescent="0.15">
      <c r="A647" t="s">
        <v>1714</v>
      </c>
      <c r="B647" t="s">
        <v>2521</v>
      </c>
      <c r="C647" t="s">
        <v>2522</v>
      </c>
    </row>
    <row r="648" spans="1:3" x14ac:dyDescent="0.15">
      <c r="A648" t="s">
        <v>1585</v>
      </c>
      <c r="B648" t="s">
        <v>2523</v>
      </c>
      <c r="C648" t="s">
        <v>2524</v>
      </c>
    </row>
    <row r="649" spans="1:3" x14ac:dyDescent="0.15">
      <c r="A649" t="s">
        <v>1586</v>
      </c>
      <c r="B649" t="s">
        <v>2525</v>
      </c>
      <c r="C649" t="s">
        <v>2185</v>
      </c>
    </row>
    <row r="650" spans="1:3" x14ac:dyDescent="0.15">
      <c r="A650" t="s">
        <v>1587</v>
      </c>
      <c r="B650" t="s">
        <v>2526</v>
      </c>
      <c r="C650" t="s">
        <v>2527</v>
      </c>
    </row>
    <row r="651" spans="1:3" x14ac:dyDescent="0.15">
      <c r="A651" t="s">
        <v>1715</v>
      </c>
      <c r="B651" t="s">
        <v>2366</v>
      </c>
      <c r="C651" t="s">
        <v>2367</v>
      </c>
    </row>
    <row r="652" spans="1:3" x14ac:dyDescent="0.15">
      <c r="A652" t="s">
        <v>1716</v>
      </c>
      <c r="B652" t="s">
        <v>2368</v>
      </c>
      <c r="C652" t="s">
        <v>2369</v>
      </c>
    </row>
    <row r="653" spans="1:3" x14ac:dyDescent="0.15">
      <c r="A653" t="s">
        <v>1588</v>
      </c>
      <c r="B653" t="s">
        <v>2370</v>
      </c>
      <c r="C653" t="s">
        <v>2371</v>
      </c>
    </row>
    <row r="654" spans="1:3" x14ac:dyDescent="0.15">
      <c r="A654" t="s">
        <v>1226</v>
      </c>
      <c r="B654" t="s">
        <v>2372</v>
      </c>
      <c r="C654" t="s">
        <v>2373</v>
      </c>
    </row>
    <row r="655" spans="1:3" x14ac:dyDescent="0.15">
      <c r="A655" t="s">
        <v>1227</v>
      </c>
      <c r="B655" t="s">
        <v>2374</v>
      </c>
      <c r="C655" t="s">
        <v>2375</v>
      </c>
    </row>
    <row r="656" spans="1:3" x14ac:dyDescent="0.15">
      <c r="A656" t="s">
        <v>1228</v>
      </c>
      <c r="B656" t="s">
        <v>2376</v>
      </c>
      <c r="C656" t="s">
        <v>2377</v>
      </c>
    </row>
    <row r="657" spans="1:3" x14ac:dyDescent="0.15">
      <c r="A657" t="s">
        <v>1229</v>
      </c>
      <c r="B657" t="s">
        <v>2528</v>
      </c>
      <c r="C657" t="s">
        <v>2529</v>
      </c>
    </row>
    <row r="658" spans="1:3" x14ac:dyDescent="0.15">
      <c r="A658" t="s">
        <v>1230</v>
      </c>
      <c r="B658" t="s">
        <v>2530</v>
      </c>
      <c r="C658" t="s">
        <v>2531</v>
      </c>
    </row>
    <row r="659" spans="1:3" x14ac:dyDescent="0.15">
      <c r="A659" t="s">
        <v>1589</v>
      </c>
      <c r="B659" t="s">
        <v>2532</v>
      </c>
      <c r="C659" t="s">
        <v>2533</v>
      </c>
    </row>
    <row r="660" spans="1:3" x14ac:dyDescent="0.15">
      <c r="A660" t="s">
        <v>1590</v>
      </c>
      <c r="B660" t="s">
        <v>2534</v>
      </c>
      <c r="C660" t="s">
        <v>2116</v>
      </c>
    </row>
    <row r="661" spans="1:3" x14ac:dyDescent="0.15">
      <c r="A661" t="s">
        <v>1591</v>
      </c>
      <c r="B661" t="s">
        <v>2535</v>
      </c>
      <c r="C661" t="s">
        <v>2536</v>
      </c>
    </row>
    <row r="662" spans="1:3" x14ac:dyDescent="0.15">
      <c r="A662" t="s">
        <v>1231</v>
      </c>
      <c r="B662" t="s">
        <v>2537</v>
      </c>
      <c r="C662" t="s">
        <v>2538</v>
      </c>
    </row>
    <row r="663" spans="1:3" x14ac:dyDescent="0.15">
      <c r="A663" t="s">
        <v>1592</v>
      </c>
      <c r="B663" t="s">
        <v>2539</v>
      </c>
      <c r="C663" t="s">
        <v>2540</v>
      </c>
    </row>
    <row r="664" spans="1:3" x14ac:dyDescent="0.15">
      <c r="A664" t="s">
        <v>1232</v>
      </c>
      <c r="B664" t="s">
        <v>2541</v>
      </c>
      <c r="C664" t="s">
        <v>2542</v>
      </c>
    </row>
    <row r="665" spans="1:3" x14ac:dyDescent="0.15">
      <c r="A665" t="s">
        <v>1593</v>
      </c>
      <c r="B665" t="s">
        <v>2543</v>
      </c>
      <c r="C665" t="s">
        <v>2544</v>
      </c>
    </row>
    <row r="666" spans="1:3" x14ac:dyDescent="0.15">
      <c r="A666" t="s">
        <v>1233</v>
      </c>
      <c r="B666" t="s">
        <v>2545</v>
      </c>
      <c r="C666" t="s">
        <v>2546</v>
      </c>
    </row>
    <row r="667" spans="1:3" x14ac:dyDescent="0.15">
      <c r="A667" t="s">
        <v>1234</v>
      </c>
      <c r="B667" t="s">
        <v>2547</v>
      </c>
      <c r="C667" t="s">
        <v>2566</v>
      </c>
    </row>
    <row r="668" spans="1:3" x14ac:dyDescent="0.15">
      <c r="A668" t="s">
        <v>1235</v>
      </c>
      <c r="B668" t="s">
        <v>2610</v>
      </c>
      <c r="C668" t="s">
        <v>2611</v>
      </c>
    </row>
    <row r="669" spans="1:3" x14ac:dyDescent="0.15">
      <c r="A669" t="s">
        <v>1236</v>
      </c>
      <c r="B669" t="s">
        <v>2612</v>
      </c>
      <c r="C669" t="s">
        <v>2613</v>
      </c>
    </row>
    <row r="670" spans="1:3" x14ac:dyDescent="0.15">
      <c r="A670" t="s">
        <v>1237</v>
      </c>
      <c r="B670" t="s">
        <v>2614</v>
      </c>
      <c r="C670" t="s">
        <v>2615</v>
      </c>
    </row>
    <row r="671" spans="1:3" x14ac:dyDescent="0.15">
      <c r="A671" t="s">
        <v>1594</v>
      </c>
      <c r="B671" t="s">
        <v>2616</v>
      </c>
      <c r="C671" t="s">
        <v>2576</v>
      </c>
    </row>
    <row r="672" spans="1:3" x14ac:dyDescent="0.15">
      <c r="A672" t="s">
        <v>1238</v>
      </c>
      <c r="B672" t="s">
        <v>2577</v>
      </c>
      <c r="C672" t="s">
        <v>2578</v>
      </c>
    </row>
    <row r="673" spans="1:3" x14ac:dyDescent="0.15">
      <c r="A673" t="s">
        <v>1239</v>
      </c>
      <c r="B673" t="s">
        <v>2579</v>
      </c>
      <c r="C673" t="s">
        <v>2580</v>
      </c>
    </row>
    <row r="674" spans="1:3" x14ac:dyDescent="0.15">
      <c r="A674" t="s">
        <v>1595</v>
      </c>
      <c r="B674" t="s">
        <v>2581</v>
      </c>
      <c r="C674" t="s">
        <v>2582</v>
      </c>
    </row>
    <row r="675" spans="1:3" x14ac:dyDescent="0.15">
      <c r="A675" t="s">
        <v>1240</v>
      </c>
      <c r="B675" t="s">
        <v>2583</v>
      </c>
      <c r="C675" t="s">
        <v>2584</v>
      </c>
    </row>
    <row r="676" spans="1:3" x14ac:dyDescent="0.15">
      <c r="A676" t="s">
        <v>1241</v>
      </c>
      <c r="B676" t="s">
        <v>2585</v>
      </c>
      <c r="C676" t="s">
        <v>2586</v>
      </c>
    </row>
    <row r="677" spans="1:3" x14ac:dyDescent="0.15">
      <c r="A677" t="s">
        <v>1242</v>
      </c>
      <c r="B677" t="s">
        <v>2587</v>
      </c>
      <c r="C677" t="s">
        <v>2615</v>
      </c>
    </row>
    <row r="678" spans="1:3" x14ac:dyDescent="0.15">
      <c r="A678" t="s">
        <v>1243</v>
      </c>
      <c r="B678" t="s">
        <v>2588</v>
      </c>
      <c r="C678" t="s">
        <v>2615</v>
      </c>
    </row>
    <row r="679" spans="1:3" x14ac:dyDescent="0.15">
      <c r="A679" t="s">
        <v>1596</v>
      </c>
      <c r="B679" t="s">
        <v>2589</v>
      </c>
      <c r="C679" t="s">
        <v>2590</v>
      </c>
    </row>
    <row r="680" spans="1:3" x14ac:dyDescent="0.15">
      <c r="A680" t="s">
        <v>1244</v>
      </c>
      <c r="B680" t="s">
        <v>2591</v>
      </c>
      <c r="C680" t="s">
        <v>2592</v>
      </c>
    </row>
    <row r="681" spans="1:3" x14ac:dyDescent="0.15">
      <c r="A681" t="s">
        <v>1482</v>
      </c>
      <c r="B681" t="s">
        <v>2593</v>
      </c>
      <c r="C681" t="s">
        <v>2594</v>
      </c>
    </row>
    <row r="682" spans="1:3" x14ac:dyDescent="0.15">
      <c r="A682" t="s">
        <v>1483</v>
      </c>
      <c r="B682" t="s">
        <v>2595</v>
      </c>
      <c r="C682" t="s">
        <v>2596</v>
      </c>
    </row>
    <row r="683" spans="1:3" x14ac:dyDescent="0.15">
      <c r="A683" t="s">
        <v>1484</v>
      </c>
      <c r="B683" t="s">
        <v>2597</v>
      </c>
      <c r="C683" t="s">
        <v>2598</v>
      </c>
    </row>
    <row r="684" spans="1:3" x14ac:dyDescent="0.15">
      <c r="A684" t="s">
        <v>1485</v>
      </c>
      <c r="B684" t="s">
        <v>2599</v>
      </c>
      <c r="C684" t="s">
        <v>2600</v>
      </c>
    </row>
    <row r="685" spans="1:3" x14ac:dyDescent="0.15">
      <c r="A685" t="s">
        <v>1486</v>
      </c>
      <c r="B685" t="s">
        <v>2601</v>
      </c>
      <c r="C685" t="s">
        <v>2602</v>
      </c>
    </row>
    <row r="686" spans="1:3" x14ac:dyDescent="0.15">
      <c r="A686" t="s">
        <v>1828</v>
      </c>
      <c r="B686" t="s">
        <v>2603</v>
      </c>
      <c r="C686" t="s">
        <v>2604</v>
      </c>
    </row>
    <row r="687" spans="1:3" x14ac:dyDescent="0.15">
      <c r="A687" t="s">
        <v>1597</v>
      </c>
      <c r="B687" t="s">
        <v>2605</v>
      </c>
      <c r="C687" t="s">
        <v>2606</v>
      </c>
    </row>
    <row r="688" spans="1:3" x14ac:dyDescent="0.15">
      <c r="A688" t="s">
        <v>1598</v>
      </c>
      <c r="B688" t="s">
        <v>2607</v>
      </c>
      <c r="C688" t="s">
        <v>2608</v>
      </c>
    </row>
    <row r="689" spans="1:3" x14ac:dyDescent="0.15">
      <c r="A689" t="s">
        <v>1829</v>
      </c>
      <c r="B689" t="s">
        <v>2609</v>
      </c>
      <c r="C689" t="s">
        <v>2447</v>
      </c>
    </row>
    <row r="690" spans="1:3" x14ac:dyDescent="0.15">
      <c r="A690" t="s">
        <v>1830</v>
      </c>
      <c r="B690" t="s">
        <v>2448</v>
      </c>
      <c r="C690" t="s">
        <v>2449</v>
      </c>
    </row>
    <row r="691" spans="1:3" x14ac:dyDescent="0.15">
      <c r="A691" t="s">
        <v>1831</v>
      </c>
      <c r="B691" t="s">
        <v>2450</v>
      </c>
      <c r="C691" t="s">
        <v>2451</v>
      </c>
    </row>
    <row r="692" spans="1:3" x14ac:dyDescent="0.15">
      <c r="A692" t="s">
        <v>1599</v>
      </c>
      <c r="B692" t="s">
        <v>2452</v>
      </c>
      <c r="C692" t="s">
        <v>2649</v>
      </c>
    </row>
    <row r="693" spans="1:3" x14ac:dyDescent="0.15">
      <c r="A693" t="s">
        <v>1832</v>
      </c>
      <c r="B693" t="s">
        <v>2650</v>
      </c>
      <c r="C693" t="s">
        <v>2651</v>
      </c>
    </row>
    <row r="694" spans="1:3" x14ac:dyDescent="0.15">
      <c r="A694" t="s">
        <v>1833</v>
      </c>
      <c r="B694" t="s">
        <v>2652</v>
      </c>
      <c r="C694" t="s">
        <v>2653</v>
      </c>
    </row>
    <row r="695" spans="1:3" x14ac:dyDescent="0.15">
      <c r="A695" t="s">
        <v>1834</v>
      </c>
      <c r="B695" t="s">
        <v>2654</v>
      </c>
      <c r="C695" t="s">
        <v>2655</v>
      </c>
    </row>
    <row r="696" spans="1:3" x14ac:dyDescent="0.15">
      <c r="A696" t="s">
        <v>1835</v>
      </c>
      <c r="B696" t="s">
        <v>2656</v>
      </c>
      <c r="C696" t="s">
        <v>2657</v>
      </c>
    </row>
    <row r="697" spans="1:3" x14ac:dyDescent="0.15">
      <c r="A697" t="s">
        <v>1602</v>
      </c>
      <c r="B697" t="s">
        <v>2658</v>
      </c>
      <c r="C697" t="s">
        <v>2659</v>
      </c>
    </row>
    <row r="698" spans="1:3" x14ac:dyDescent="0.15">
      <c r="A698" t="s">
        <v>1603</v>
      </c>
      <c r="B698" t="s">
        <v>2660</v>
      </c>
      <c r="C698" t="s">
        <v>2653</v>
      </c>
    </row>
    <row r="699" spans="1:3" x14ac:dyDescent="0.15">
      <c r="A699" t="s">
        <v>1604</v>
      </c>
      <c r="B699" t="s">
        <v>2661</v>
      </c>
      <c r="C699" t="s">
        <v>2662</v>
      </c>
    </row>
    <row r="700" spans="1:3" x14ac:dyDescent="0.15">
      <c r="A700" t="s">
        <v>1605</v>
      </c>
      <c r="B700" t="s">
        <v>2663</v>
      </c>
      <c r="C700" t="s">
        <v>2664</v>
      </c>
    </row>
    <row r="701" spans="1:3" x14ac:dyDescent="0.15">
      <c r="A701" t="s">
        <v>1606</v>
      </c>
      <c r="B701" t="s">
        <v>2665</v>
      </c>
      <c r="C701" t="s">
        <v>2666</v>
      </c>
    </row>
    <row r="702" spans="1:3" x14ac:dyDescent="0.15">
      <c r="A702" t="s">
        <v>1607</v>
      </c>
      <c r="B702" t="s">
        <v>2667</v>
      </c>
      <c r="C702" t="s">
        <v>2668</v>
      </c>
    </row>
    <row r="703" spans="1:3" x14ac:dyDescent="0.15">
      <c r="A703" t="s">
        <v>1608</v>
      </c>
      <c r="B703" t="s">
        <v>2669</v>
      </c>
      <c r="C703" t="s">
        <v>2670</v>
      </c>
    </row>
    <row r="704" spans="1:3" x14ac:dyDescent="0.15">
      <c r="A704" t="s">
        <v>1600</v>
      </c>
      <c r="B704" t="s">
        <v>2671</v>
      </c>
      <c r="C704" t="s">
        <v>2672</v>
      </c>
    </row>
    <row r="705" spans="1:3" x14ac:dyDescent="0.15">
      <c r="A705" t="s">
        <v>1601</v>
      </c>
      <c r="B705" t="s">
        <v>2575</v>
      </c>
      <c r="C705" t="s">
        <v>2574</v>
      </c>
    </row>
    <row r="706" spans="1:3" x14ac:dyDescent="0.15">
      <c r="A706" t="s">
        <v>1609</v>
      </c>
      <c r="B706" t="s">
        <v>2673</v>
      </c>
      <c r="C706" t="s">
        <v>2674</v>
      </c>
    </row>
  </sheetData>
  <autoFilter ref="A1:C706" xr:uid="{00000000-0009-0000-0000-000005000000}"/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 Book</vt:lpstr>
      <vt:lpstr>By Instructor</vt:lpstr>
      <vt:lpstr>By Type</vt:lpstr>
      <vt:lpstr>Aircraft</vt:lpstr>
      <vt:lpstr>By Instructor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Stu Bevan</cp:lastModifiedBy>
  <dcterms:created xsi:type="dcterms:W3CDTF">1996-10-14T23:33:28Z</dcterms:created>
  <dcterms:modified xsi:type="dcterms:W3CDTF">2026-01-25T08:19:07Z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5b34e4-27bd-46b8-b650-0a6725a0eb90_Enabled">
    <vt:lpwstr>true</vt:lpwstr>
  </property>
  <property fmtid="{D5CDD505-2E9C-101B-9397-08002B2CF9AE}" pid="3" name="MSIP_Label_395b34e4-27bd-46b8-b650-0a6725a0eb90_SetDate">
    <vt:lpwstr>2026-01-25T08:19:07Z</vt:lpwstr>
  </property>
  <property fmtid="{D5CDD505-2E9C-101B-9397-08002B2CF9AE}" pid="4" name="MSIP_Label_395b34e4-27bd-46b8-b650-0a6725a0eb90_Method">
    <vt:lpwstr>Standard</vt:lpwstr>
  </property>
  <property fmtid="{D5CDD505-2E9C-101B-9397-08002B2CF9AE}" pid="5" name="MSIP_Label_395b34e4-27bd-46b8-b650-0a6725a0eb90_Name">
    <vt:lpwstr>Confidential (Internal)</vt:lpwstr>
  </property>
  <property fmtid="{D5CDD505-2E9C-101B-9397-08002B2CF9AE}" pid="6" name="MSIP_Label_395b34e4-27bd-46b8-b650-0a6725a0eb90_SiteId">
    <vt:lpwstr>89796215-91b2-4b6d-b90b-e8fe588f6336</vt:lpwstr>
  </property>
  <property fmtid="{D5CDD505-2E9C-101B-9397-08002B2CF9AE}" pid="7" name="MSIP_Label_395b34e4-27bd-46b8-b650-0a6725a0eb90_ActionId">
    <vt:lpwstr>826f9b15-144d-4a55-b531-76045cd40593</vt:lpwstr>
  </property>
  <property fmtid="{D5CDD505-2E9C-101B-9397-08002B2CF9AE}" pid="8" name="MSIP_Label_395b34e4-27bd-46b8-b650-0a6725a0eb90_ContentBits">
    <vt:lpwstr>0</vt:lpwstr>
  </property>
  <property fmtid="{D5CDD505-2E9C-101B-9397-08002B2CF9AE}" pid="9" name="MSIP_Label_395b34e4-27bd-46b8-b650-0a6725a0eb90_Tag">
    <vt:lpwstr>50, 3, 0, 1</vt:lpwstr>
  </property>
</Properties>
</file>